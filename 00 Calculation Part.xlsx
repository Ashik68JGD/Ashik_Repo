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G:\Ashik PhD\Ashik PhD-ResearchPaper&amp;Thesis\Development\01 Green Energy\"/>
    </mc:Choice>
  </mc:AlternateContent>
  <xr:revisionPtr revIDLastSave="0" documentId="13_ncr:1_{E7B7D7C1-B09E-4BD6-869D-98AEC0354B08}" xr6:coauthVersionLast="45" xr6:coauthVersionMax="47" xr10:uidLastSave="{00000000-0000-0000-0000-000000000000}"/>
  <bookViews>
    <workbookView xWindow="-120" yWindow="-120" windowWidth="20730" windowHeight="11160" tabRatio="611" firstSheet="9" activeTab="12" xr2:uid="{00000000-000D-0000-FFFF-FFFF00000000}"/>
  </bookViews>
  <sheets>
    <sheet name="Variable condition" sheetId="1" r:id="rId1"/>
    <sheet name="Expert wights" sheetId="2" r:id="rId2"/>
    <sheet name="Sheet3" sheetId="3" r:id="rId3"/>
    <sheet name="APFDM" sheetId="4" r:id="rId4"/>
    <sheet name="trail concordance index" sheetId="5" r:id="rId5"/>
    <sheet name="APNDM" sheetId="6" r:id="rId6"/>
    <sheet name="Aggregation(CW)" sheetId="7" r:id="rId7"/>
    <sheet name="S(CW)" sheetId="8" r:id="rId8"/>
    <sheet name="WNAPNDM Score(WNAPNDM)" sheetId="9" r:id="rId9"/>
    <sheet name="Score(TV)" sheetId="10" r:id="rId10"/>
    <sheet name="concordance Matrix" sheetId="11" r:id="rId11"/>
    <sheet name="Discordance Matrix" sheetId="12" r:id="rId12"/>
    <sheet name=" Credibility Index &amp; Ranking" sheetId="13" r:id="rId13"/>
  </sheets>
  <definedNames>
    <definedName name="_xlnm._FilterDatabase" localSheetId="9" hidden="1">'Score(TV)'!$I$4:$O$15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6" i="13" l="1"/>
  <c r="F17" i="13"/>
  <c r="F18" i="13"/>
  <c r="F19" i="13"/>
  <c r="F20" i="13"/>
  <c r="F21" i="13"/>
  <c r="F15" i="13"/>
  <c r="F11" i="13"/>
  <c r="G11" i="13"/>
  <c r="H11" i="13"/>
  <c r="I11" i="13"/>
  <c r="J11" i="13"/>
  <c r="K11" i="13"/>
  <c r="E11" i="13"/>
  <c r="L5" i="13"/>
  <c r="L6" i="13"/>
  <c r="L7" i="13"/>
  <c r="L8" i="13"/>
  <c r="L9" i="13"/>
  <c r="L10" i="13"/>
  <c r="L4" i="13"/>
  <c r="I102" i="12"/>
  <c r="J102" i="12"/>
  <c r="K102" i="12"/>
  <c r="L102" i="12"/>
  <c r="M102" i="12"/>
  <c r="N102" i="12"/>
  <c r="O102" i="12"/>
  <c r="I103" i="12"/>
  <c r="J103" i="12"/>
  <c r="K103" i="12"/>
  <c r="L103" i="12"/>
  <c r="M103" i="12"/>
  <c r="N103" i="12"/>
  <c r="O103" i="12"/>
  <c r="I104" i="12"/>
  <c r="J104" i="12"/>
  <c r="K104" i="12"/>
  <c r="L104" i="12"/>
  <c r="M104" i="12"/>
  <c r="N104" i="12"/>
  <c r="O104" i="12"/>
  <c r="I105" i="12"/>
  <c r="J105" i="12"/>
  <c r="K105" i="12"/>
  <c r="L105" i="12"/>
  <c r="M105" i="12"/>
  <c r="N105" i="12"/>
  <c r="O105" i="12"/>
  <c r="I106" i="12"/>
  <c r="J106" i="12"/>
  <c r="K106" i="12"/>
  <c r="L106" i="12"/>
  <c r="M106" i="12"/>
  <c r="N106" i="12"/>
  <c r="O106" i="12"/>
  <c r="I107" i="12"/>
  <c r="J107" i="12"/>
  <c r="K107" i="12"/>
  <c r="L107" i="12"/>
  <c r="M107" i="12"/>
  <c r="N107" i="12"/>
  <c r="O107" i="12"/>
  <c r="J101" i="12"/>
  <c r="K101" i="12"/>
  <c r="L101" i="12"/>
  <c r="M101" i="12"/>
  <c r="N101" i="12"/>
  <c r="O101" i="12"/>
  <c r="I101" i="12"/>
  <c r="M86" i="12"/>
  <c r="K86" i="12"/>
  <c r="J86" i="12"/>
  <c r="I86" i="12"/>
  <c r="K85" i="12"/>
  <c r="J85" i="12"/>
  <c r="I85" i="12"/>
  <c r="O84" i="12"/>
  <c r="K84" i="12"/>
  <c r="J84" i="12"/>
  <c r="I84" i="12"/>
  <c r="N83" i="12"/>
  <c r="I83" i="12"/>
  <c r="O82" i="12"/>
  <c r="N82" i="12"/>
  <c r="M82" i="12"/>
  <c r="J82" i="12" l="1"/>
  <c r="I82" i="12"/>
  <c r="O81" i="12"/>
  <c r="M81" i="12"/>
  <c r="L81" i="12"/>
  <c r="K81" i="12"/>
  <c r="I81" i="12"/>
  <c r="N80" i="12"/>
  <c r="M80" i="12"/>
  <c r="L80" i="12"/>
  <c r="K80" i="12"/>
  <c r="J80" i="12"/>
  <c r="A80" i="12"/>
  <c r="A81" i="12"/>
  <c r="B81" i="12"/>
  <c r="C81" i="12"/>
  <c r="D81" i="12"/>
  <c r="E81" i="12"/>
  <c r="F81" i="12"/>
  <c r="G81" i="12"/>
  <c r="A82" i="12"/>
  <c r="B82" i="12"/>
  <c r="C82" i="12"/>
  <c r="D82" i="12"/>
  <c r="E82" i="12"/>
  <c r="F82" i="12"/>
  <c r="G82" i="12"/>
  <c r="A83" i="12"/>
  <c r="B83" i="12"/>
  <c r="C83" i="12"/>
  <c r="D83" i="12"/>
  <c r="E83" i="12"/>
  <c r="F83" i="12"/>
  <c r="G83" i="12"/>
  <c r="A84" i="12"/>
  <c r="B84" i="12"/>
  <c r="C84" i="12"/>
  <c r="D84" i="12"/>
  <c r="E84" i="12"/>
  <c r="F84" i="12"/>
  <c r="G84" i="12"/>
  <c r="A85" i="12"/>
  <c r="B85" i="12"/>
  <c r="C85" i="12"/>
  <c r="D85" i="12"/>
  <c r="E85" i="12"/>
  <c r="F85" i="12"/>
  <c r="G85" i="12"/>
  <c r="A86" i="12"/>
  <c r="B86" i="12"/>
  <c r="C86" i="12"/>
  <c r="D86" i="12"/>
  <c r="E86" i="12"/>
  <c r="F86" i="12"/>
  <c r="G86" i="12"/>
  <c r="G80" i="12"/>
  <c r="B80" i="12"/>
  <c r="C80" i="12"/>
  <c r="D80" i="12"/>
  <c r="E80" i="12"/>
  <c r="F80" i="12"/>
  <c r="E23" i="12"/>
  <c r="J25" i="12"/>
  <c r="G25" i="12"/>
  <c r="K25" i="12"/>
  <c r="M26" i="12"/>
  <c r="O26" i="12"/>
  <c r="U27" i="12"/>
  <c r="AA27" i="12"/>
  <c r="AD27" i="12"/>
  <c r="AI26" i="12"/>
  <c r="AO26" i="12"/>
  <c r="AR27" i="12"/>
  <c r="AW28" i="12"/>
  <c r="BA28" i="12"/>
  <c r="BD28" i="12"/>
  <c r="I53" i="12"/>
  <c r="AW52" i="12"/>
  <c r="AO52" i="12"/>
  <c r="AG52" i="12"/>
  <c r="Y52" i="12"/>
  <c r="Q52" i="12"/>
  <c r="I52" i="12"/>
  <c r="Y50" i="12"/>
  <c r="Q50" i="12"/>
  <c r="I50" i="12"/>
  <c r="I49" i="12"/>
  <c r="A49" i="12"/>
  <c r="I48" i="12"/>
  <c r="A48" i="12"/>
  <c r="AW47" i="12"/>
  <c r="AO47" i="12"/>
  <c r="AG47" i="12"/>
  <c r="Y47" i="12"/>
  <c r="Q47" i="12"/>
  <c r="I47" i="12"/>
  <c r="A47" i="12"/>
  <c r="AX23" i="12"/>
  <c r="AY23" i="12"/>
  <c r="AZ23" i="12"/>
  <c r="BA23" i="12"/>
  <c r="BB23" i="12"/>
  <c r="BC23" i="12"/>
  <c r="BD23" i="12"/>
  <c r="AX24" i="12"/>
  <c r="AY24" i="12"/>
  <c r="AZ24" i="12"/>
  <c r="BA24" i="12"/>
  <c r="BB24" i="12"/>
  <c r="BC24" i="12"/>
  <c r="BD24" i="12"/>
  <c r="AX25" i="12"/>
  <c r="AY25" i="12"/>
  <c r="AZ25" i="12"/>
  <c r="BA25" i="12"/>
  <c r="BB25" i="12"/>
  <c r="BC25" i="12"/>
  <c r="BD25" i="12"/>
  <c r="AX26" i="12"/>
  <c r="AY26" i="12"/>
  <c r="AZ26" i="12"/>
  <c r="BA26" i="12"/>
  <c r="BB26" i="12"/>
  <c r="BC26" i="12"/>
  <c r="BD26" i="12"/>
  <c r="AX27" i="12"/>
  <c r="AY27" i="12"/>
  <c r="AZ27" i="12"/>
  <c r="BA27" i="12"/>
  <c r="BB27" i="12"/>
  <c r="BC27" i="12"/>
  <c r="BD27" i="12"/>
  <c r="AX28" i="12"/>
  <c r="AY28" i="12"/>
  <c r="AZ28" i="12"/>
  <c r="BB28" i="12"/>
  <c r="BC28" i="12"/>
  <c r="AY22" i="12"/>
  <c r="AZ22" i="12"/>
  <c r="BA22" i="12"/>
  <c r="BB22" i="12"/>
  <c r="BC22" i="12"/>
  <c r="BD22" i="12"/>
  <c r="AX22" i="12"/>
  <c r="AQ23" i="12"/>
  <c r="AR23" i="12"/>
  <c r="AS23" i="12"/>
  <c r="AT23" i="12"/>
  <c r="AU23" i="12"/>
  <c r="AV23" i="12"/>
  <c r="AW23" i="12"/>
  <c r="AQ24" i="12"/>
  <c r="AR24" i="12"/>
  <c r="AS24" i="12"/>
  <c r="AT24" i="12"/>
  <c r="AU24" i="12"/>
  <c r="AV24" i="12"/>
  <c r="AW24" i="12"/>
  <c r="AQ25" i="12"/>
  <c r="AR25" i="12"/>
  <c r="AS25" i="12"/>
  <c r="AT25" i="12"/>
  <c r="AU25" i="12"/>
  <c r="AV25" i="12"/>
  <c r="AW25" i="12"/>
  <c r="AQ26" i="12"/>
  <c r="AR26" i="12"/>
  <c r="AS26" i="12"/>
  <c r="AT26" i="12"/>
  <c r="AU26" i="12"/>
  <c r="AV26" i="12"/>
  <c r="AW26" i="12"/>
  <c r="AQ27" i="12"/>
  <c r="AS27" i="12"/>
  <c r="AT27" i="12"/>
  <c r="AU27" i="12"/>
  <c r="AV27" i="12"/>
  <c r="AW27" i="12"/>
  <c r="AQ28" i="12"/>
  <c r="AR28" i="12"/>
  <c r="AS28" i="12"/>
  <c r="AT28" i="12"/>
  <c r="AU28" i="12"/>
  <c r="AV28" i="12"/>
  <c r="AR22" i="12"/>
  <c r="AS22" i="12"/>
  <c r="AT22" i="12"/>
  <c r="AU22" i="12"/>
  <c r="AV22" i="12"/>
  <c r="AW22" i="12"/>
  <c r="AQ22" i="12"/>
  <c r="AJ23" i="12"/>
  <c r="AK23" i="12"/>
  <c r="AL23" i="12"/>
  <c r="AM23" i="12"/>
  <c r="AN23" i="12"/>
  <c r="AO23" i="12"/>
  <c r="AP23" i="12"/>
  <c r="AJ24" i="12"/>
  <c r="AK24" i="12"/>
  <c r="AL24" i="12"/>
  <c r="AM24" i="12"/>
  <c r="AN24" i="12"/>
  <c r="AO24" i="12"/>
  <c r="AP24" i="12"/>
  <c r="AJ25" i="12"/>
  <c r="AK25" i="12"/>
  <c r="AL25" i="12"/>
  <c r="AM25" i="12"/>
  <c r="AN25" i="12"/>
  <c r="AO25" i="12"/>
  <c r="AP25" i="12"/>
  <c r="AJ26" i="12"/>
  <c r="AK26" i="12"/>
  <c r="AL26" i="12"/>
  <c r="AM26" i="12"/>
  <c r="AN26" i="12"/>
  <c r="AP26" i="12"/>
  <c r="AJ27" i="12"/>
  <c r="AK27" i="12"/>
  <c r="AL27" i="12"/>
  <c r="AM27" i="12"/>
  <c r="AN27" i="12"/>
  <c r="AO27" i="12"/>
  <c r="AP27" i="12"/>
  <c r="AJ28" i="12"/>
  <c r="AK28" i="12"/>
  <c r="AL28" i="12"/>
  <c r="AM28" i="12"/>
  <c r="AN28" i="12"/>
  <c r="AO28" i="12"/>
  <c r="AP28" i="12"/>
  <c r="AK22" i="12"/>
  <c r="AL22" i="12"/>
  <c r="AM22" i="12"/>
  <c r="AN22" i="12"/>
  <c r="AO22" i="12"/>
  <c r="AP22" i="12"/>
  <c r="AJ22" i="12"/>
  <c r="AC23" i="12"/>
  <c r="AD23" i="12"/>
  <c r="AE23" i="12"/>
  <c r="AF23" i="12"/>
  <c r="AG23" i="12"/>
  <c r="AH23" i="12"/>
  <c r="AI23" i="12"/>
  <c r="AC24" i="12"/>
  <c r="AD24" i="12"/>
  <c r="AE24" i="12"/>
  <c r="AF24" i="12"/>
  <c r="AG24" i="12"/>
  <c r="AH24" i="12"/>
  <c r="AI24" i="12"/>
  <c r="AC25" i="12"/>
  <c r="AD25" i="12"/>
  <c r="AE25" i="12"/>
  <c r="AF25" i="12"/>
  <c r="AG25" i="12"/>
  <c r="AH25" i="12"/>
  <c r="AI25" i="12"/>
  <c r="AC26" i="12"/>
  <c r="AD26" i="12"/>
  <c r="AE26" i="12"/>
  <c r="AF26" i="12"/>
  <c r="AG26" i="12"/>
  <c r="AH26" i="12"/>
  <c r="AC27" i="12"/>
  <c r="AE27" i="12"/>
  <c r="AF27" i="12"/>
  <c r="AG27" i="12"/>
  <c r="AH27" i="12"/>
  <c r="AI27" i="12"/>
  <c r="AC28" i="12"/>
  <c r="AD28" i="12"/>
  <c r="AE28" i="12"/>
  <c r="AF28" i="12"/>
  <c r="AG28" i="12"/>
  <c r="AH28" i="12"/>
  <c r="AI28" i="12"/>
  <c r="AD22" i="12"/>
  <c r="AE22" i="12"/>
  <c r="AF22" i="12"/>
  <c r="AG22" i="12"/>
  <c r="AH22" i="12"/>
  <c r="AI22" i="12"/>
  <c r="AC22" i="12"/>
  <c r="AB28" i="12"/>
  <c r="V23" i="12"/>
  <c r="W23" i="12"/>
  <c r="X23" i="12"/>
  <c r="Y23" i="12"/>
  <c r="Z23" i="12"/>
  <c r="AA23" i="12"/>
  <c r="AB23" i="12"/>
  <c r="V24" i="12"/>
  <c r="W24" i="12"/>
  <c r="X24" i="12"/>
  <c r="Y24" i="12"/>
  <c r="Z24" i="12"/>
  <c r="AA24" i="12"/>
  <c r="AB24" i="12"/>
  <c r="V25" i="12"/>
  <c r="W25" i="12"/>
  <c r="X25" i="12"/>
  <c r="Y25" i="12"/>
  <c r="Z25" i="12"/>
  <c r="AA25" i="12"/>
  <c r="AB25" i="12"/>
  <c r="V26" i="12"/>
  <c r="W26" i="12"/>
  <c r="X26" i="12"/>
  <c r="Y26" i="12"/>
  <c r="Z26" i="12"/>
  <c r="AA26" i="12"/>
  <c r="AB26" i="12"/>
  <c r="V27" i="12"/>
  <c r="W27" i="12"/>
  <c r="X27" i="12"/>
  <c r="Y27" i="12"/>
  <c r="Z27" i="12"/>
  <c r="AB27" i="12"/>
  <c r="V28" i="12"/>
  <c r="W28" i="12"/>
  <c r="X28" i="12"/>
  <c r="Y28" i="12"/>
  <c r="Z28" i="12"/>
  <c r="AA28" i="12"/>
  <c r="W22" i="12"/>
  <c r="X22" i="12"/>
  <c r="Y22" i="12"/>
  <c r="Z22" i="12"/>
  <c r="AA22" i="12"/>
  <c r="AB22" i="12"/>
  <c r="V22" i="12"/>
  <c r="U28" i="12"/>
  <c r="N28" i="12"/>
  <c r="G28" i="12"/>
  <c r="H22" i="12"/>
  <c r="B22" i="12"/>
  <c r="O23" i="12"/>
  <c r="P23" i="12"/>
  <c r="Q23" i="12"/>
  <c r="R23" i="12"/>
  <c r="S23" i="12"/>
  <c r="T23" i="12"/>
  <c r="U23" i="12"/>
  <c r="O24" i="12"/>
  <c r="P24" i="12"/>
  <c r="Q24" i="12"/>
  <c r="R24" i="12"/>
  <c r="S24" i="12"/>
  <c r="T24" i="12"/>
  <c r="U24" i="12"/>
  <c r="O25" i="12"/>
  <c r="P25" i="12"/>
  <c r="Q25" i="12"/>
  <c r="R25" i="12"/>
  <c r="S25" i="12"/>
  <c r="T25" i="12"/>
  <c r="U25" i="12"/>
  <c r="P26" i="12"/>
  <c r="Q26" i="12"/>
  <c r="R26" i="12"/>
  <c r="S26" i="12"/>
  <c r="T26" i="12"/>
  <c r="U26" i="12"/>
  <c r="O27" i="12"/>
  <c r="P27" i="12"/>
  <c r="Q27" i="12"/>
  <c r="R27" i="12"/>
  <c r="S27" i="12"/>
  <c r="T27" i="12"/>
  <c r="O28" i="12"/>
  <c r="P28" i="12"/>
  <c r="Q28" i="12"/>
  <c r="R28" i="12"/>
  <c r="S28" i="12"/>
  <c r="T28" i="12"/>
  <c r="P22" i="12"/>
  <c r="Q22" i="12"/>
  <c r="R22" i="12"/>
  <c r="S22" i="12"/>
  <c r="T22" i="12"/>
  <c r="U22" i="12"/>
  <c r="O22" i="12"/>
  <c r="N25" i="12"/>
  <c r="I25" i="12"/>
  <c r="E24" i="12"/>
  <c r="I23" i="12"/>
  <c r="A22" i="12"/>
  <c r="K26" i="12"/>
  <c r="J26" i="12"/>
  <c r="J24" i="12"/>
  <c r="H23" i="12"/>
  <c r="J23" i="12"/>
  <c r="K23" i="12"/>
  <c r="L23" i="12"/>
  <c r="M23" i="12"/>
  <c r="N23" i="12"/>
  <c r="H24" i="12"/>
  <c r="I24" i="12"/>
  <c r="K24" i="12"/>
  <c r="L24" i="12"/>
  <c r="M24" i="12"/>
  <c r="N24" i="12"/>
  <c r="H25" i="12"/>
  <c r="L25" i="12"/>
  <c r="M25" i="12"/>
  <c r="H26" i="12"/>
  <c r="I26" i="12"/>
  <c r="L26" i="12"/>
  <c r="N26" i="12"/>
  <c r="H27" i="12"/>
  <c r="I27" i="12"/>
  <c r="J27" i="12"/>
  <c r="K27" i="12"/>
  <c r="L27" i="12"/>
  <c r="M27" i="12"/>
  <c r="N27" i="12"/>
  <c r="H28" i="12"/>
  <c r="I28" i="12"/>
  <c r="J28" i="12"/>
  <c r="K28" i="12"/>
  <c r="L28" i="12"/>
  <c r="M28" i="12"/>
  <c r="I22" i="12"/>
  <c r="J22" i="12"/>
  <c r="K22" i="12"/>
  <c r="L22" i="12"/>
  <c r="M22" i="12"/>
  <c r="N22" i="12"/>
  <c r="F22" i="12"/>
  <c r="A23" i="12"/>
  <c r="B23" i="12"/>
  <c r="C23" i="12"/>
  <c r="D23" i="12"/>
  <c r="F23" i="12"/>
  <c r="G23" i="12"/>
  <c r="A24" i="12"/>
  <c r="B24" i="12"/>
  <c r="C24" i="12"/>
  <c r="D24" i="12"/>
  <c r="F24" i="12"/>
  <c r="G24" i="12"/>
  <c r="A25" i="12"/>
  <c r="B25" i="12"/>
  <c r="C25" i="12"/>
  <c r="D25" i="12"/>
  <c r="E25" i="12"/>
  <c r="F25" i="12"/>
  <c r="A26" i="12"/>
  <c r="B26" i="12"/>
  <c r="C26" i="12"/>
  <c r="D26" i="12"/>
  <c r="E26" i="12"/>
  <c r="F26" i="12"/>
  <c r="G26" i="12"/>
  <c r="A27" i="12"/>
  <c r="B27" i="12"/>
  <c r="C27" i="12"/>
  <c r="D27" i="12"/>
  <c r="E27" i="12"/>
  <c r="F27" i="12"/>
  <c r="G27" i="12"/>
  <c r="A28" i="12"/>
  <c r="B28" i="12"/>
  <c r="C28" i="12"/>
  <c r="D28" i="12"/>
  <c r="E28" i="12"/>
  <c r="F28" i="12"/>
  <c r="C22" i="12"/>
  <c r="D22" i="12"/>
  <c r="E22" i="12"/>
  <c r="G22" i="12"/>
  <c r="Z73" i="11"/>
  <c r="L74" i="11"/>
  <c r="S76" i="11"/>
  <c r="N71" i="11"/>
  <c r="B47" i="12"/>
  <c r="C47" i="12"/>
  <c r="D47" i="12"/>
  <c r="E47" i="12"/>
  <c r="F47" i="12"/>
  <c r="G47" i="12"/>
  <c r="H47" i="12"/>
  <c r="J47" i="12"/>
  <c r="K47" i="12"/>
  <c r="L47" i="12"/>
  <c r="M47" i="12"/>
  <c r="N47" i="12"/>
  <c r="O47" i="12"/>
  <c r="P47" i="12"/>
  <c r="R47" i="12"/>
  <c r="S47" i="12"/>
  <c r="T47" i="12"/>
  <c r="U47" i="12"/>
  <c r="V47" i="12"/>
  <c r="W47" i="12"/>
  <c r="X47" i="12"/>
  <c r="Z47" i="12"/>
  <c r="AA47" i="12"/>
  <c r="AB47" i="12"/>
  <c r="AC47" i="12"/>
  <c r="AD47" i="12"/>
  <c r="AE47" i="12"/>
  <c r="AF47" i="12"/>
  <c r="AH47" i="12"/>
  <c r="AI47" i="12"/>
  <c r="AJ47" i="12"/>
  <c r="AK47" i="12"/>
  <c r="AL47" i="12"/>
  <c r="AM47" i="12"/>
  <c r="AN47" i="12"/>
  <c r="AP47" i="12"/>
  <c r="AQ47" i="12"/>
  <c r="AR47" i="12"/>
  <c r="AS47" i="12"/>
  <c r="AT47" i="12"/>
  <c r="AU47" i="12"/>
  <c r="AV47" i="12"/>
  <c r="AX47" i="12"/>
  <c r="AY47" i="12"/>
  <c r="AZ47" i="12"/>
  <c r="BA47" i="12"/>
  <c r="BB47" i="12"/>
  <c r="BC47" i="12"/>
  <c r="BD47" i="12"/>
  <c r="B48" i="12"/>
  <c r="C48" i="12"/>
  <c r="D48" i="12"/>
  <c r="E48" i="12"/>
  <c r="F48" i="12"/>
  <c r="G48" i="12"/>
  <c r="H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X48" i="12"/>
  <c r="AY48" i="12"/>
  <c r="AZ48" i="12"/>
  <c r="BA48" i="12"/>
  <c r="BB48" i="12"/>
  <c r="BC48" i="12"/>
  <c r="BD48" i="12"/>
  <c r="B49" i="12"/>
  <c r="C49" i="12"/>
  <c r="D49" i="12"/>
  <c r="E49" i="12"/>
  <c r="F49" i="12"/>
  <c r="G49" i="12"/>
  <c r="H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X49" i="12"/>
  <c r="AY49" i="12"/>
  <c r="AZ49" i="12"/>
  <c r="BA49" i="12"/>
  <c r="BB49" i="12"/>
  <c r="BC49" i="12"/>
  <c r="BD49" i="12"/>
  <c r="B50" i="12"/>
  <c r="C50" i="12"/>
  <c r="D50" i="12"/>
  <c r="E50" i="12"/>
  <c r="F50" i="12"/>
  <c r="G50" i="12"/>
  <c r="H50" i="12"/>
  <c r="J50" i="12"/>
  <c r="K50" i="12"/>
  <c r="L50" i="12"/>
  <c r="M50" i="12"/>
  <c r="N50" i="12"/>
  <c r="O50" i="12"/>
  <c r="P50" i="12"/>
  <c r="R50" i="12"/>
  <c r="S50" i="12"/>
  <c r="T50" i="12"/>
  <c r="U50" i="12"/>
  <c r="V50" i="12"/>
  <c r="W50" i="12"/>
  <c r="X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BA50" i="12"/>
  <c r="BB50" i="12"/>
  <c r="BC50" i="12"/>
  <c r="BD50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X51" i="12"/>
  <c r="AY51" i="12"/>
  <c r="AZ51" i="12"/>
  <c r="BA51" i="12"/>
  <c r="BB51" i="12"/>
  <c r="BC51" i="12"/>
  <c r="BD51" i="12"/>
  <c r="B52" i="12"/>
  <c r="C52" i="12"/>
  <c r="D52" i="12"/>
  <c r="E52" i="12"/>
  <c r="F52" i="12"/>
  <c r="G52" i="12"/>
  <c r="H52" i="12"/>
  <c r="J52" i="12"/>
  <c r="K52" i="12"/>
  <c r="L52" i="12"/>
  <c r="M52" i="12"/>
  <c r="N52" i="12"/>
  <c r="O52" i="12"/>
  <c r="P52" i="12"/>
  <c r="R52" i="12"/>
  <c r="S52" i="12"/>
  <c r="T52" i="12"/>
  <c r="U52" i="12"/>
  <c r="V52" i="12"/>
  <c r="W52" i="12"/>
  <c r="X52" i="12"/>
  <c r="Z52" i="12"/>
  <c r="AA52" i="12"/>
  <c r="AB52" i="12"/>
  <c r="AC52" i="12"/>
  <c r="AD52" i="12"/>
  <c r="AE52" i="12"/>
  <c r="AF52" i="12"/>
  <c r="AH52" i="12"/>
  <c r="AI52" i="12"/>
  <c r="AJ52" i="12"/>
  <c r="AK52" i="12"/>
  <c r="AL52" i="12"/>
  <c r="AM52" i="12"/>
  <c r="AN52" i="12"/>
  <c r="AP52" i="12"/>
  <c r="AQ52" i="12"/>
  <c r="AR52" i="12"/>
  <c r="AS52" i="12"/>
  <c r="AT52" i="12"/>
  <c r="AU52" i="12"/>
  <c r="AV52" i="12"/>
  <c r="AX52" i="12"/>
  <c r="AY52" i="12"/>
  <c r="AZ52" i="12"/>
  <c r="BA52" i="12"/>
  <c r="BB52" i="12"/>
  <c r="BC52" i="12"/>
  <c r="BD52" i="12"/>
  <c r="B53" i="12"/>
  <c r="C53" i="12"/>
  <c r="D53" i="12"/>
  <c r="E53" i="12"/>
  <c r="F53" i="12"/>
  <c r="G53" i="12"/>
  <c r="H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BC53" i="12"/>
  <c r="BD53" i="12"/>
  <c r="A50" i="12"/>
  <c r="A51" i="12"/>
  <c r="A52" i="12"/>
  <c r="A53" i="12"/>
  <c r="A19" i="11"/>
  <c r="G23" i="11"/>
  <c r="G22" i="11"/>
  <c r="B18" i="11"/>
  <c r="A150" i="11"/>
  <c r="B150" i="11"/>
  <c r="C150" i="11"/>
  <c r="D150" i="11"/>
  <c r="E150" i="11"/>
  <c r="F150" i="11"/>
  <c r="G150" i="11"/>
  <c r="A151" i="11"/>
  <c r="B151" i="11"/>
  <c r="C151" i="11"/>
  <c r="D151" i="11"/>
  <c r="E151" i="11"/>
  <c r="F151" i="11"/>
  <c r="G151" i="11"/>
  <c r="A152" i="11"/>
  <c r="B152" i="11"/>
  <c r="C152" i="11"/>
  <c r="D152" i="11"/>
  <c r="E152" i="11"/>
  <c r="F152" i="11"/>
  <c r="G152" i="11"/>
  <c r="A153" i="11"/>
  <c r="B153" i="11"/>
  <c r="C153" i="11"/>
  <c r="D153" i="11"/>
  <c r="E153" i="11"/>
  <c r="F153" i="11"/>
  <c r="G153" i="11"/>
  <c r="A154" i="11"/>
  <c r="B154" i="11"/>
  <c r="C154" i="11"/>
  <c r="D154" i="11"/>
  <c r="E154" i="11"/>
  <c r="F154" i="11"/>
  <c r="G154" i="11"/>
  <c r="A155" i="11"/>
  <c r="B155" i="11"/>
  <c r="C155" i="11"/>
  <c r="D155" i="11"/>
  <c r="E155" i="11"/>
  <c r="F155" i="11"/>
  <c r="G155" i="11"/>
  <c r="B149" i="11"/>
  <c r="C149" i="11"/>
  <c r="D149" i="11"/>
  <c r="E149" i="11"/>
  <c r="F149" i="11"/>
  <c r="G149" i="11"/>
  <c r="A149" i="11"/>
  <c r="D128" i="11"/>
  <c r="D130" i="11"/>
  <c r="A127" i="11"/>
  <c r="A128" i="11"/>
  <c r="B128" i="11"/>
  <c r="C128" i="11"/>
  <c r="E128" i="11"/>
  <c r="F128" i="11"/>
  <c r="G128" i="11"/>
  <c r="A129" i="11"/>
  <c r="B129" i="11"/>
  <c r="C129" i="11"/>
  <c r="D129" i="11"/>
  <c r="E129" i="11"/>
  <c r="F129" i="11"/>
  <c r="G129" i="11"/>
  <c r="A130" i="11"/>
  <c r="B130" i="11"/>
  <c r="C130" i="11"/>
  <c r="E130" i="11"/>
  <c r="F130" i="11"/>
  <c r="G130" i="11"/>
  <c r="A131" i="11"/>
  <c r="B131" i="11"/>
  <c r="C131" i="11"/>
  <c r="D131" i="11"/>
  <c r="E131" i="11"/>
  <c r="F131" i="11"/>
  <c r="G131" i="11"/>
  <c r="A132" i="11"/>
  <c r="B132" i="11"/>
  <c r="C132" i="11"/>
  <c r="D132" i="11"/>
  <c r="E132" i="11"/>
  <c r="F132" i="11"/>
  <c r="G132" i="11"/>
  <c r="A133" i="11"/>
  <c r="B133" i="11"/>
  <c r="C133" i="11"/>
  <c r="D133" i="11"/>
  <c r="E133" i="11"/>
  <c r="F133" i="11"/>
  <c r="G133" i="11"/>
  <c r="B127" i="11"/>
  <c r="C127" i="11"/>
  <c r="D127" i="11"/>
  <c r="E127" i="11"/>
  <c r="F127" i="11"/>
  <c r="G127" i="11"/>
  <c r="F21" i="8"/>
  <c r="F20" i="8"/>
  <c r="H20" i="8" s="1"/>
  <c r="F19" i="8"/>
  <c r="F18" i="8"/>
  <c r="F17" i="8"/>
  <c r="F16" i="8"/>
  <c r="F15" i="8"/>
  <c r="H15" i="8" s="1"/>
  <c r="F14" i="8"/>
  <c r="H14" i="8" s="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J99" i="11"/>
  <c r="AK99" i="11"/>
  <c r="AL99" i="11"/>
  <c r="AM99" i="11"/>
  <c r="AN99" i="11"/>
  <c r="AO99" i="11"/>
  <c r="AP99" i="11"/>
  <c r="AQ99" i="11"/>
  <c r="AR99" i="11"/>
  <c r="AS99" i="11"/>
  <c r="AT99" i="11"/>
  <c r="AU99" i="11"/>
  <c r="AV99" i="11"/>
  <c r="AW99" i="11"/>
  <c r="AX99" i="11"/>
  <c r="AY99" i="11"/>
  <c r="AZ99" i="11"/>
  <c r="BA99" i="11"/>
  <c r="BB99" i="11"/>
  <c r="BC99" i="11"/>
  <c r="BD99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J100" i="11"/>
  <c r="AK100" i="11"/>
  <c r="AL100" i="11"/>
  <c r="AM100" i="11"/>
  <c r="AN100" i="11"/>
  <c r="AO100" i="11"/>
  <c r="AP100" i="11"/>
  <c r="AQ100" i="11"/>
  <c r="AR100" i="11"/>
  <c r="AS100" i="11"/>
  <c r="AT100" i="11"/>
  <c r="AU100" i="11"/>
  <c r="AV100" i="11"/>
  <c r="AW100" i="11"/>
  <c r="AX100" i="11"/>
  <c r="AY100" i="11"/>
  <c r="AZ100" i="11"/>
  <c r="BA100" i="11"/>
  <c r="BB100" i="11"/>
  <c r="BC100" i="11"/>
  <c r="BD100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J101" i="11"/>
  <c r="AK101" i="11"/>
  <c r="AL101" i="11"/>
  <c r="AM101" i="11"/>
  <c r="AN101" i="11"/>
  <c r="AO101" i="11"/>
  <c r="AP101" i="11"/>
  <c r="AQ101" i="11"/>
  <c r="AR101" i="11"/>
  <c r="AS101" i="11"/>
  <c r="AT101" i="11"/>
  <c r="AU101" i="11"/>
  <c r="AV101" i="11"/>
  <c r="AW101" i="11"/>
  <c r="AX101" i="11"/>
  <c r="AY101" i="11"/>
  <c r="AZ101" i="11"/>
  <c r="BA101" i="11"/>
  <c r="BB101" i="11"/>
  <c r="BC101" i="11"/>
  <c r="BD101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J102" i="11"/>
  <c r="AK102" i="11"/>
  <c r="AL102" i="11"/>
  <c r="AM102" i="11"/>
  <c r="AN102" i="11"/>
  <c r="AO102" i="11"/>
  <c r="AP102" i="11"/>
  <c r="AQ102" i="11"/>
  <c r="AR102" i="11"/>
  <c r="AS102" i="11"/>
  <c r="AT102" i="11"/>
  <c r="AU102" i="11"/>
  <c r="AV102" i="11"/>
  <c r="AW102" i="11"/>
  <c r="AX102" i="11"/>
  <c r="AY102" i="11"/>
  <c r="AZ102" i="11"/>
  <c r="BA102" i="11"/>
  <c r="BB102" i="11"/>
  <c r="BC102" i="11"/>
  <c r="BD102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J103" i="11"/>
  <c r="AK103" i="11"/>
  <c r="AL103" i="11"/>
  <c r="AM103" i="11"/>
  <c r="AN103" i="11"/>
  <c r="AO103" i="11"/>
  <c r="AP103" i="11"/>
  <c r="AQ103" i="11"/>
  <c r="AR103" i="11"/>
  <c r="AS103" i="11"/>
  <c r="AT103" i="11"/>
  <c r="AU103" i="11"/>
  <c r="AV103" i="11"/>
  <c r="AW103" i="11"/>
  <c r="AX103" i="11"/>
  <c r="AY103" i="11"/>
  <c r="AZ103" i="11"/>
  <c r="BA103" i="11"/>
  <c r="BB103" i="11"/>
  <c r="BC103" i="11"/>
  <c r="BD103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J104" i="11"/>
  <c r="AK104" i="11"/>
  <c r="AL104" i="11"/>
  <c r="AM104" i="11"/>
  <c r="AN104" i="11"/>
  <c r="AO104" i="11"/>
  <c r="AP104" i="11"/>
  <c r="AQ104" i="11"/>
  <c r="AR104" i="11"/>
  <c r="AS104" i="11"/>
  <c r="AT104" i="11"/>
  <c r="AU104" i="11"/>
  <c r="AV104" i="11"/>
  <c r="AW104" i="11"/>
  <c r="AX104" i="11"/>
  <c r="AY104" i="11"/>
  <c r="AZ104" i="11"/>
  <c r="BA104" i="11"/>
  <c r="BB104" i="11"/>
  <c r="BC104" i="11"/>
  <c r="BD104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J105" i="11"/>
  <c r="AK105" i="11"/>
  <c r="AL105" i="11"/>
  <c r="AM105" i="11"/>
  <c r="AN105" i="11"/>
  <c r="AO105" i="11"/>
  <c r="AP105" i="11"/>
  <c r="AQ105" i="11"/>
  <c r="AR105" i="11"/>
  <c r="AS105" i="11"/>
  <c r="AT105" i="11"/>
  <c r="AU105" i="11"/>
  <c r="AV105" i="11"/>
  <c r="AW105" i="11"/>
  <c r="AX105" i="11"/>
  <c r="AY105" i="11"/>
  <c r="AZ105" i="11"/>
  <c r="BA105" i="11"/>
  <c r="BB105" i="11"/>
  <c r="BC105" i="11"/>
  <c r="BD105" i="11"/>
  <c r="A100" i="11"/>
  <c r="A101" i="11"/>
  <c r="A102" i="11"/>
  <c r="A103" i="11"/>
  <c r="A104" i="11"/>
  <c r="A105" i="11"/>
  <c r="A99" i="11"/>
  <c r="AX72" i="11"/>
  <c r="AY72" i="11"/>
  <c r="AZ72" i="11"/>
  <c r="BA72" i="11"/>
  <c r="BB72" i="11"/>
  <c r="BC72" i="11"/>
  <c r="BD72" i="11"/>
  <c r="AX73" i="11"/>
  <c r="AY73" i="11"/>
  <c r="AZ73" i="11"/>
  <c r="BA73" i="11"/>
  <c r="BB73" i="11"/>
  <c r="BC73" i="11"/>
  <c r="BD73" i="11"/>
  <c r="AX74" i="11"/>
  <c r="AY74" i="11"/>
  <c r="AZ74" i="11"/>
  <c r="BA74" i="11"/>
  <c r="BB74" i="11"/>
  <c r="BC74" i="11"/>
  <c r="BD74" i="11"/>
  <c r="AX75" i="11"/>
  <c r="AY75" i="11"/>
  <c r="AZ75" i="11"/>
  <c r="BA75" i="11"/>
  <c r="BB75" i="11"/>
  <c r="BC75" i="11"/>
  <c r="BD75" i="11"/>
  <c r="AX76" i="11"/>
  <c r="AY76" i="11"/>
  <c r="AZ76" i="11"/>
  <c r="BA76" i="11"/>
  <c r="BB76" i="11"/>
  <c r="BC76" i="11"/>
  <c r="BD76" i="11"/>
  <c r="AX77" i="11"/>
  <c r="AY77" i="11"/>
  <c r="AZ77" i="11"/>
  <c r="BA77" i="11"/>
  <c r="BB77" i="11"/>
  <c r="BC77" i="11"/>
  <c r="BD77" i="11"/>
  <c r="AY71" i="11"/>
  <c r="AZ71" i="11"/>
  <c r="BA71" i="11"/>
  <c r="BB71" i="11"/>
  <c r="BC71" i="11"/>
  <c r="BD71" i="11"/>
  <c r="AX71" i="11"/>
  <c r="AQ72" i="11"/>
  <c r="AR72" i="11"/>
  <c r="AS72" i="11"/>
  <c r="AT72" i="11"/>
  <c r="AU72" i="11"/>
  <c r="AV72" i="11"/>
  <c r="AW72" i="11"/>
  <c r="AQ73" i="11"/>
  <c r="AR73" i="11"/>
  <c r="AS73" i="11"/>
  <c r="AT73" i="11"/>
  <c r="AU73" i="11"/>
  <c r="AV73" i="11"/>
  <c r="AW73" i="11"/>
  <c r="AQ74" i="11"/>
  <c r="AR74" i="11"/>
  <c r="AS74" i="11"/>
  <c r="AT74" i="11"/>
  <c r="AU74" i="11"/>
  <c r="AV74" i="11"/>
  <c r="AW74" i="11"/>
  <c r="AQ75" i="11"/>
  <c r="AR75" i="11"/>
  <c r="AS75" i="11"/>
  <c r="AT75" i="11"/>
  <c r="AU75" i="11"/>
  <c r="AV75" i="11"/>
  <c r="AW75" i="11"/>
  <c r="AQ76" i="11"/>
  <c r="AR76" i="11"/>
  <c r="AS76" i="11"/>
  <c r="AT76" i="11"/>
  <c r="AU76" i="11"/>
  <c r="AV76" i="11"/>
  <c r="AW76" i="11"/>
  <c r="AQ77" i="11"/>
  <c r="AR77" i="11"/>
  <c r="AS77" i="11"/>
  <c r="AT77" i="11"/>
  <c r="AU77" i="11"/>
  <c r="AV77" i="11"/>
  <c r="AW77" i="11"/>
  <c r="AR71" i="11"/>
  <c r="AS71" i="11"/>
  <c r="AT71" i="11"/>
  <c r="AU71" i="11"/>
  <c r="AV71" i="11"/>
  <c r="AW71" i="11"/>
  <c r="AQ71" i="11"/>
  <c r="AJ72" i="11"/>
  <c r="AK72" i="11"/>
  <c r="AL72" i="11"/>
  <c r="AM72" i="11"/>
  <c r="AN72" i="11"/>
  <c r="AO72" i="11"/>
  <c r="AP72" i="11"/>
  <c r="AJ73" i="11"/>
  <c r="AK73" i="11"/>
  <c r="AL73" i="11"/>
  <c r="AM73" i="11"/>
  <c r="AN73" i="11"/>
  <c r="AO73" i="11"/>
  <c r="AP73" i="11"/>
  <c r="AJ74" i="11"/>
  <c r="AK74" i="11"/>
  <c r="AL74" i="11"/>
  <c r="AM74" i="11"/>
  <c r="AN74" i="11"/>
  <c r="AO74" i="11"/>
  <c r="AP74" i="11"/>
  <c r="AJ75" i="11"/>
  <c r="AK75" i="11"/>
  <c r="AL75" i="11"/>
  <c r="AM75" i="11"/>
  <c r="AN75" i="11"/>
  <c r="AO75" i="11"/>
  <c r="AP75" i="11"/>
  <c r="AJ76" i="11"/>
  <c r="AK76" i="11"/>
  <c r="AL76" i="11"/>
  <c r="AM76" i="11"/>
  <c r="AN76" i="11"/>
  <c r="AO76" i="11"/>
  <c r="AP76" i="11"/>
  <c r="AJ77" i="11"/>
  <c r="AK77" i="11"/>
  <c r="AL77" i="11"/>
  <c r="AM77" i="11"/>
  <c r="AN77" i="11"/>
  <c r="AO77" i="11"/>
  <c r="AP77" i="11"/>
  <c r="AK71" i="11"/>
  <c r="AL71" i="11"/>
  <c r="AM71" i="11"/>
  <c r="AN71" i="11"/>
  <c r="AO71" i="11"/>
  <c r="AP71" i="11"/>
  <c r="AJ71" i="11"/>
  <c r="AC72" i="11"/>
  <c r="AD72" i="11"/>
  <c r="AE72" i="11"/>
  <c r="AF72" i="11"/>
  <c r="AG72" i="11"/>
  <c r="AH72" i="11"/>
  <c r="AI72" i="11"/>
  <c r="AC73" i="11"/>
  <c r="AD73" i="11"/>
  <c r="AE73" i="11"/>
  <c r="AF73" i="11"/>
  <c r="AG73" i="11"/>
  <c r="AH73" i="11"/>
  <c r="AI73" i="11"/>
  <c r="AC74" i="11"/>
  <c r="AD74" i="11"/>
  <c r="AE74" i="11"/>
  <c r="AF74" i="11"/>
  <c r="AG74" i="11"/>
  <c r="AH74" i="11"/>
  <c r="AI74" i="11"/>
  <c r="AC75" i="11"/>
  <c r="AD75" i="11"/>
  <c r="AE75" i="11"/>
  <c r="AF75" i="11"/>
  <c r="AG75" i="11"/>
  <c r="AH75" i="11"/>
  <c r="AI75" i="11"/>
  <c r="AC76" i="11"/>
  <c r="AD76" i="11"/>
  <c r="AE76" i="11"/>
  <c r="AF76" i="11"/>
  <c r="AG76" i="11"/>
  <c r="AH76" i="11"/>
  <c r="AI76" i="11"/>
  <c r="AC77" i="11"/>
  <c r="AD77" i="11"/>
  <c r="AE77" i="11"/>
  <c r="AF77" i="11"/>
  <c r="AG77" i="11"/>
  <c r="AH77" i="11"/>
  <c r="AI77" i="11"/>
  <c r="AD71" i="11"/>
  <c r="AE71" i="11"/>
  <c r="AF71" i="11"/>
  <c r="AG71" i="11"/>
  <c r="AH71" i="11"/>
  <c r="AI71" i="11"/>
  <c r="AC71" i="11"/>
  <c r="V72" i="11"/>
  <c r="W72" i="11"/>
  <c r="X72" i="11"/>
  <c r="Y72" i="11"/>
  <c r="Z72" i="11"/>
  <c r="AA72" i="11"/>
  <c r="AB72" i="11"/>
  <c r="V73" i="11"/>
  <c r="W73" i="11"/>
  <c r="X73" i="11"/>
  <c r="Y73" i="11"/>
  <c r="AA73" i="11"/>
  <c r="AB73" i="11"/>
  <c r="V74" i="11"/>
  <c r="W74" i="11"/>
  <c r="X74" i="11"/>
  <c r="Y74" i="11"/>
  <c r="Z74" i="11"/>
  <c r="AA74" i="11"/>
  <c r="AB74" i="11"/>
  <c r="V75" i="11"/>
  <c r="W75" i="11"/>
  <c r="X75" i="11"/>
  <c r="Y75" i="11"/>
  <c r="Z75" i="11"/>
  <c r="AA75" i="11"/>
  <c r="AB75" i="11"/>
  <c r="V76" i="11"/>
  <c r="W76" i="11"/>
  <c r="X76" i="11"/>
  <c r="Y76" i="11"/>
  <c r="Z76" i="11"/>
  <c r="AA76" i="11"/>
  <c r="AB76" i="11"/>
  <c r="V77" i="11"/>
  <c r="W77" i="11"/>
  <c r="X77" i="11"/>
  <c r="Y77" i="11"/>
  <c r="Z77" i="11"/>
  <c r="AA77" i="11"/>
  <c r="AB77" i="11"/>
  <c r="W71" i="11"/>
  <c r="X71" i="11"/>
  <c r="Y71" i="11"/>
  <c r="Z71" i="11"/>
  <c r="AA71" i="11"/>
  <c r="AB71" i="11"/>
  <c r="V71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O75" i="11"/>
  <c r="P75" i="11"/>
  <c r="Q75" i="11"/>
  <c r="R75" i="11"/>
  <c r="S75" i="11"/>
  <c r="T75" i="11"/>
  <c r="U75" i="11"/>
  <c r="O76" i="11"/>
  <c r="P76" i="11"/>
  <c r="Q76" i="11"/>
  <c r="R76" i="11"/>
  <c r="T76" i="11"/>
  <c r="U76" i="11"/>
  <c r="O77" i="11"/>
  <c r="P77" i="11"/>
  <c r="Q77" i="11"/>
  <c r="R77" i="11"/>
  <c r="S77" i="11"/>
  <c r="T77" i="11"/>
  <c r="U77" i="11"/>
  <c r="P71" i="11"/>
  <c r="Q71" i="11"/>
  <c r="R71" i="11"/>
  <c r="S71" i="11"/>
  <c r="T71" i="11"/>
  <c r="U71" i="11"/>
  <c r="O71" i="11"/>
  <c r="H72" i="11"/>
  <c r="I72" i="11"/>
  <c r="J72" i="11"/>
  <c r="K72" i="11"/>
  <c r="L72" i="11"/>
  <c r="M72" i="11"/>
  <c r="N72" i="11"/>
  <c r="H73" i="11"/>
  <c r="I73" i="11"/>
  <c r="J73" i="11"/>
  <c r="K73" i="11"/>
  <c r="L73" i="11"/>
  <c r="M73" i="11"/>
  <c r="N73" i="11"/>
  <c r="H74" i="11"/>
  <c r="I74" i="11"/>
  <c r="J74" i="11"/>
  <c r="K74" i="11"/>
  <c r="M74" i="11"/>
  <c r="N74" i="11"/>
  <c r="H75" i="11"/>
  <c r="I75" i="11"/>
  <c r="J75" i="11"/>
  <c r="K75" i="11"/>
  <c r="L75" i="11"/>
  <c r="M75" i="11"/>
  <c r="N75" i="11"/>
  <c r="H76" i="11"/>
  <c r="I76" i="11"/>
  <c r="J76" i="11"/>
  <c r="K76" i="11"/>
  <c r="L76" i="11"/>
  <c r="M76" i="11"/>
  <c r="N76" i="11"/>
  <c r="H77" i="11"/>
  <c r="I77" i="11"/>
  <c r="J77" i="11"/>
  <c r="K77" i="11"/>
  <c r="L77" i="11"/>
  <c r="M77" i="11"/>
  <c r="N77" i="11"/>
  <c r="I71" i="11"/>
  <c r="J71" i="11"/>
  <c r="K71" i="11"/>
  <c r="L71" i="11"/>
  <c r="M71" i="11"/>
  <c r="H71" i="11"/>
  <c r="A71" i="11"/>
  <c r="A72" i="11"/>
  <c r="B72" i="11"/>
  <c r="C72" i="11"/>
  <c r="D72" i="11"/>
  <c r="E72" i="11"/>
  <c r="F72" i="11"/>
  <c r="G72" i="11"/>
  <c r="A73" i="11"/>
  <c r="B73" i="11"/>
  <c r="C73" i="11"/>
  <c r="D73" i="11"/>
  <c r="E73" i="11"/>
  <c r="F73" i="11"/>
  <c r="G73" i="11"/>
  <c r="A74" i="11"/>
  <c r="B74" i="11"/>
  <c r="C74" i="11"/>
  <c r="D74" i="11"/>
  <c r="E74" i="11"/>
  <c r="F74" i="11"/>
  <c r="G74" i="11"/>
  <c r="A75" i="11"/>
  <c r="B75" i="11"/>
  <c r="C75" i="11"/>
  <c r="D75" i="11"/>
  <c r="E75" i="11"/>
  <c r="F75" i="11"/>
  <c r="G75" i="11"/>
  <c r="A76" i="11"/>
  <c r="B76" i="11"/>
  <c r="C76" i="11"/>
  <c r="D76" i="11"/>
  <c r="E76" i="11"/>
  <c r="F76" i="11"/>
  <c r="G76" i="11"/>
  <c r="A77" i="11"/>
  <c r="B77" i="11"/>
  <c r="C77" i="11"/>
  <c r="D77" i="11"/>
  <c r="E77" i="11"/>
  <c r="F77" i="11"/>
  <c r="G77" i="11"/>
  <c r="B71" i="11"/>
  <c r="C71" i="11"/>
  <c r="D71" i="11"/>
  <c r="E71" i="11"/>
  <c r="F71" i="11"/>
  <c r="G71" i="11"/>
  <c r="O15" i="10"/>
  <c r="N15" i="10"/>
  <c r="O14" i="10"/>
  <c r="N14" i="10"/>
  <c r="O13" i="10"/>
  <c r="N13" i="10"/>
  <c r="O11" i="10"/>
  <c r="N11" i="10"/>
  <c r="O12" i="10"/>
  <c r="N12" i="10"/>
  <c r="O10" i="10"/>
  <c r="N10" i="10"/>
  <c r="O9" i="10"/>
  <c r="N9" i="10"/>
  <c r="O8" i="10"/>
  <c r="N8" i="10"/>
  <c r="O7" i="10"/>
  <c r="N7" i="10"/>
  <c r="O6" i="10"/>
  <c r="N6" i="10"/>
  <c r="O5" i="10"/>
  <c r="N5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G7" i="10"/>
  <c r="F7" i="10"/>
  <c r="G6" i="10"/>
  <c r="F6" i="10"/>
  <c r="G5" i="10"/>
  <c r="F5" i="10"/>
  <c r="G19" i="1"/>
  <c r="G20" i="1"/>
  <c r="G21" i="1"/>
  <c r="G22" i="1"/>
  <c r="G23" i="1"/>
  <c r="G24" i="1"/>
  <c r="G25" i="1"/>
  <c r="G26" i="1"/>
  <c r="G27" i="1"/>
  <c r="G28" i="1"/>
  <c r="G18" i="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C43" i="11"/>
  <c r="BD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BA46" i="11"/>
  <c r="BB46" i="11"/>
  <c r="BC46" i="11"/>
  <c r="BD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BA47" i="11"/>
  <c r="BB47" i="11"/>
  <c r="BC47" i="11"/>
  <c r="BD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AK48" i="11"/>
  <c r="AL48" i="11"/>
  <c r="AM48" i="11"/>
  <c r="AN48" i="11"/>
  <c r="AO48" i="11"/>
  <c r="AP48" i="11"/>
  <c r="AQ48" i="11"/>
  <c r="AR48" i="11"/>
  <c r="AS48" i="11"/>
  <c r="AT48" i="11"/>
  <c r="AU48" i="11"/>
  <c r="AV48" i="11"/>
  <c r="AW48" i="11"/>
  <c r="AX48" i="11"/>
  <c r="AY48" i="11"/>
  <c r="AZ48" i="11"/>
  <c r="BA48" i="11"/>
  <c r="BB48" i="11"/>
  <c r="BC48" i="11"/>
  <c r="BD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A44" i="11"/>
  <c r="A45" i="11"/>
  <c r="A46" i="11"/>
  <c r="A47" i="11"/>
  <c r="A48" i="11"/>
  <c r="A49" i="11"/>
  <c r="A43" i="11"/>
  <c r="R20" i="11"/>
  <c r="R23" i="11"/>
  <c r="U22" i="11"/>
  <c r="T21" i="11"/>
  <c r="D23" i="11"/>
  <c r="E23" i="11"/>
  <c r="F19" i="11"/>
  <c r="C18" i="11"/>
  <c r="P24" i="11"/>
  <c r="Q24" i="11"/>
  <c r="R24" i="11"/>
  <c r="S24" i="11"/>
  <c r="T24" i="11"/>
  <c r="U24" i="11"/>
  <c r="O24" i="11"/>
  <c r="P23" i="11"/>
  <c r="Q23" i="11"/>
  <c r="S23" i="11"/>
  <c r="T23" i="11"/>
  <c r="U23" i="11"/>
  <c r="O23" i="11"/>
  <c r="P22" i="11"/>
  <c r="Q22" i="11"/>
  <c r="R22" i="11"/>
  <c r="S22" i="11"/>
  <c r="T22" i="11"/>
  <c r="O22" i="11"/>
  <c r="P21" i="11"/>
  <c r="Q21" i="11"/>
  <c r="R21" i="11"/>
  <c r="S21" i="11"/>
  <c r="U21" i="11"/>
  <c r="O21" i="11"/>
  <c r="P20" i="11"/>
  <c r="Q20" i="11"/>
  <c r="S20" i="11"/>
  <c r="T20" i="11"/>
  <c r="U20" i="11"/>
  <c r="O20" i="11"/>
  <c r="P19" i="11"/>
  <c r="Q19" i="11"/>
  <c r="R19" i="11"/>
  <c r="S19" i="11"/>
  <c r="T19" i="11"/>
  <c r="U19" i="11"/>
  <c r="O19" i="11"/>
  <c r="P18" i="11"/>
  <c r="Q18" i="11"/>
  <c r="R18" i="11"/>
  <c r="S18" i="11"/>
  <c r="T18" i="11"/>
  <c r="U18" i="11"/>
  <c r="O18" i="11"/>
  <c r="AY24" i="11"/>
  <c r="AZ24" i="11"/>
  <c r="BA24" i="11"/>
  <c r="BB24" i="11"/>
  <c r="BC24" i="11"/>
  <c r="BD24" i="11"/>
  <c r="AX24" i="11"/>
  <c r="AY23" i="11"/>
  <c r="AZ23" i="11"/>
  <c r="BA23" i="11"/>
  <c r="BB23" i="11"/>
  <c r="BC23" i="11"/>
  <c r="BD23" i="11"/>
  <c r="AX23" i="11"/>
  <c r="AY22" i="11"/>
  <c r="AZ22" i="11"/>
  <c r="BA22" i="11"/>
  <c r="BB22" i="11"/>
  <c r="BC22" i="11"/>
  <c r="BD22" i="11"/>
  <c r="AX22" i="11"/>
  <c r="AY21" i="11"/>
  <c r="AZ21" i="11"/>
  <c r="BA21" i="11"/>
  <c r="BB21" i="11"/>
  <c r="BC21" i="11"/>
  <c r="BD21" i="11"/>
  <c r="AX21" i="11"/>
  <c r="AY20" i="11"/>
  <c r="AZ20" i="11"/>
  <c r="BA20" i="11"/>
  <c r="BB20" i="11"/>
  <c r="BC20" i="11"/>
  <c r="BD20" i="11"/>
  <c r="AX20" i="11"/>
  <c r="AY19" i="11"/>
  <c r="AZ19" i="11"/>
  <c r="BA19" i="11"/>
  <c r="BB19" i="11"/>
  <c r="BC19" i="11"/>
  <c r="BD19" i="11"/>
  <c r="AX19" i="11"/>
  <c r="AY18" i="11"/>
  <c r="AZ18" i="11"/>
  <c r="BA18" i="11"/>
  <c r="BB18" i="11"/>
  <c r="BC18" i="11"/>
  <c r="BD18" i="11"/>
  <c r="AX18" i="11"/>
  <c r="AR24" i="11"/>
  <c r="AS24" i="11"/>
  <c r="AT24" i="11"/>
  <c r="AU24" i="11"/>
  <c r="AV24" i="11"/>
  <c r="AW24" i="11"/>
  <c r="AQ24" i="11"/>
  <c r="AR23" i="11"/>
  <c r="AS23" i="11"/>
  <c r="AT23" i="11"/>
  <c r="AU23" i="11"/>
  <c r="AV23" i="11"/>
  <c r="AW23" i="11"/>
  <c r="AQ23" i="11"/>
  <c r="AR22" i="11"/>
  <c r="AS22" i="11"/>
  <c r="AT22" i="11"/>
  <c r="AU22" i="11"/>
  <c r="AV22" i="11"/>
  <c r="AW22" i="11"/>
  <c r="AQ22" i="11"/>
  <c r="AR21" i="11"/>
  <c r="AS21" i="11"/>
  <c r="AT21" i="11"/>
  <c r="AU21" i="11"/>
  <c r="AV21" i="11"/>
  <c r="AW21" i="11"/>
  <c r="AQ21" i="11"/>
  <c r="AR20" i="11"/>
  <c r="AS20" i="11"/>
  <c r="AT20" i="11"/>
  <c r="AU20" i="11"/>
  <c r="AV20" i="11"/>
  <c r="AW20" i="11"/>
  <c r="AQ20" i="11"/>
  <c r="AR19" i="11"/>
  <c r="AS19" i="11"/>
  <c r="AT19" i="11"/>
  <c r="AU19" i="11"/>
  <c r="AV19" i="11"/>
  <c r="AW19" i="11"/>
  <c r="AQ19" i="11"/>
  <c r="AR18" i="11"/>
  <c r="AS18" i="11"/>
  <c r="AT18" i="11"/>
  <c r="AU18" i="11"/>
  <c r="AV18" i="11"/>
  <c r="AW18" i="11"/>
  <c r="AQ18" i="11"/>
  <c r="AK24" i="11"/>
  <c r="AL24" i="11"/>
  <c r="AM24" i="11"/>
  <c r="AN24" i="11"/>
  <c r="AO24" i="11"/>
  <c r="AP24" i="11"/>
  <c r="AJ24" i="11"/>
  <c r="AK23" i="11"/>
  <c r="AL23" i="11"/>
  <c r="AM23" i="11"/>
  <c r="AN23" i="11"/>
  <c r="AO23" i="11"/>
  <c r="AP23" i="11"/>
  <c r="AJ23" i="11"/>
  <c r="AK22" i="11"/>
  <c r="AL22" i="11"/>
  <c r="AM22" i="11"/>
  <c r="AN22" i="11"/>
  <c r="AO22" i="11"/>
  <c r="AP22" i="11"/>
  <c r="AJ22" i="11"/>
  <c r="AK21" i="11"/>
  <c r="AL21" i="11"/>
  <c r="AM21" i="11"/>
  <c r="AN21" i="11"/>
  <c r="AO21" i="11"/>
  <c r="AP21" i="11"/>
  <c r="AJ21" i="11"/>
  <c r="AK20" i="11"/>
  <c r="AL20" i="11"/>
  <c r="AM20" i="11"/>
  <c r="AN20" i="11"/>
  <c r="AO20" i="11"/>
  <c r="AP20" i="11"/>
  <c r="AJ20" i="11"/>
  <c r="AK19" i="11"/>
  <c r="AL19" i="11"/>
  <c r="AM19" i="11"/>
  <c r="AN19" i="11"/>
  <c r="AO19" i="11"/>
  <c r="AP19" i="11"/>
  <c r="AJ19" i="11"/>
  <c r="AK18" i="11"/>
  <c r="AL18" i="11"/>
  <c r="AM18" i="11"/>
  <c r="AN18" i="11"/>
  <c r="AO18" i="11"/>
  <c r="AP18" i="11"/>
  <c r="AJ18" i="11"/>
  <c r="AD24" i="11"/>
  <c r="AE24" i="11"/>
  <c r="AF24" i="11"/>
  <c r="AG24" i="11"/>
  <c r="AH24" i="11"/>
  <c r="AI24" i="11"/>
  <c r="AC24" i="11"/>
  <c r="AD23" i="11"/>
  <c r="AE23" i="11"/>
  <c r="AF23" i="11"/>
  <c r="AG23" i="11"/>
  <c r="AH23" i="11"/>
  <c r="AI23" i="11"/>
  <c r="AC23" i="11"/>
  <c r="AD22" i="11"/>
  <c r="AE22" i="11"/>
  <c r="AF22" i="11"/>
  <c r="AG22" i="11"/>
  <c r="AH22" i="11"/>
  <c r="AI22" i="11"/>
  <c r="AC22" i="11"/>
  <c r="AD21" i="11"/>
  <c r="AE21" i="11"/>
  <c r="AF21" i="11"/>
  <c r="AG21" i="11"/>
  <c r="AH21" i="11"/>
  <c r="AI21" i="11"/>
  <c r="AC21" i="11"/>
  <c r="AD20" i="11"/>
  <c r="AE20" i="11"/>
  <c r="AF20" i="11"/>
  <c r="AG20" i="11"/>
  <c r="AH20" i="11"/>
  <c r="AI20" i="11"/>
  <c r="AC20" i="11"/>
  <c r="AD19" i="11"/>
  <c r="AE19" i="11"/>
  <c r="AF19" i="11"/>
  <c r="AG19" i="11"/>
  <c r="AH19" i="11"/>
  <c r="AI19" i="11"/>
  <c r="AC19" i="11"/>
  <c r="AD18" i="11"/>
  <c r="AE18" i="11"/>
  <c r="AF18" i="11"/>
  <c r="AG18" i="11"/>
  <c r="AH18" i="11"/>
  <c r="AI18" i="11"/>
  <c r="AC18" i="11"/>
  <c r="W24" i="11"/>
  <c r="X24" i="11"/>
  <c r="Y24" i="11"/>
  <c r="Z24" i="11"/>
  <c r="AA24" i="11"/>
  <c r="AB24" i="11"/>
  <c r="V24" i="11"/>
  <c r="W23" i="11"/>
  <c r="X23" i="11"/>
  <c r="Y23" i="11"/>
  <c r="Z23" i="11"/>
  <c r="AA23" i="11"/>
  <c r="AB23" i="11"/>
  <c r="V23" i="11"/>
  <c r="W22" i="11"/>
  <c r="X22" i="11"/>
  <c r="Y22" i="11"/>
  <c r="Z22" i="11"/>
  <c r="AA22" i="11"/>
  <c r="AB22" i="11"/>
  <c r="V22" i="11"/>
  <c r="W21" i="11"/>
  <c r="X21" i="11"/>
  <c r="Y21" i="11"/>
  <c r="Z21" i="11"/>
  <c r="AA21" i="11"/>
  <c r="AB21" i="11"/>
  <c r="V21" i="11"/>
  <c r="W20" i="11"/>
  <c r="X20" i="11"/>
  <c r="Y20" i="11"/>
  <c r="Z20" i="11"/>
  <c r="AA20" i="11"/>
  <c r="AB20" i="11"/>
  <c r="V20" i="11"/>
  <c r="W19" i="11"/>
  <c r="X19" i="11"/>
  <c r="Y19" i="11"/>
  <c r="Z19" i="11"/>
  <c r="AA19" i="11"/>
  <c r="AB19" i="11"/>
  <c r="V19" i="11"/>
  <c r="W18" i="11"/>
  <c r="X18" i="11"/>
  <c r="Y18" i="11"/>
  <c r="Z18" i="11"/>
  <c r="AA18" i="11"/>
  <c r="AB18" i="11"/>
  <c r="V18" i="11"/>
  <c r="H24" i="11"/>
  <c r="N18" i="11"/>
  <c r="N24" i="11"/>
  <c r="I24" i="11"/>
  <c r="J24" i="11"/>
  <c r="K24" i="11"/>
  <c r="L24" i="11"/>
  <c r="M24" i="11"/>
  <c r="I23" i="11"/>
  <c r="J23" i="11"/>
  <c r="K23" i="11"/>
  <c r="L23" i="11"/>
  <c r="M23" i="11"/>
  <c r="N23" i="11"/>
  <c r="H23" i="11"/>
  <c r="I22" i="11"/>
  <c r="J22" i="11"/>
  <c r="K22" i="11"/>
  <c r="L22" i="11"/>
  <c r="M22" i="11"/>
  <c r="N22" i="11"/>
  <c r="H22" i="11"/>
  <c r="I21" i="11"/>
  <c r="J21" i="11"/>
  <c r="K21" i="11"/>
  <c r="L21" i="11"/>
  <c r="M21" i="11"/>
  <c r="N21" i="11"/>
  <c r="H21" i="11"/>
  <c r="I20" i="11"/>
  <c r="J20" i="11"/>
  <c r="K20" i="11"/>
  <c r="L20" i="11"/>
  <c r="M20" i="11"/>
  <c r="N20" i="11"/>
  <c r="H20" i="11"/>
  <c r="I19" i="11"/>
  <c r="J19" i="11"/>
  <c r="K19" i="11"/>
  <c r="L19" i="11"/>
  <c r="M19" i="11"/>
  <c r="N19" i="11"/>
  <c r="H19" i="11"/>
  <c r="I18" i="11"/>
  <c r="J18" i="11"/>
  <c r="K18" i="11"/>
  <c r="L18" i="11"/>
  <c r="M18" i="11"/>
  <c r="H18" i="11"/>
  <c r="B24" i="11"/>
  <c r="C24" i="11"/>
  <c r="D24" i="11"/>
  <c r="E24" i="11"/>
  <c r="F24" i="11"/>
  <c r="G24" i="11"/>
  <c r="A24" i="11"/>
  <c r="B23" i="11"/>
  <c r="C23" i="11"/>
  <c r="F23" i="11"/>
  <c r="A23" i="11"/>
  <c r="B22" i="11"/>
  <c r="C22" i="11"/>
  <c r="D22" i="11"/>
  <c r="E22" i="11"/>
  <c r="F22" i="11"/>
  <c r="A22" i="11"/>
  <c r="B21" i="11"/>
  <c r="C21" i="11"/>
  <c r="D21" i="11"/>
  <c r="E21" i="11"/>
  <c r="F21" i="11"/>
  <c r="G21" i="11"/>
  <c r="A21" i="11"/>
  <c r="B20" i="11"/>
  <c r="C20" i="11"/>
  <c r="D20" i="11"/>
  <c r="E20" i="11"/>
  <c r="F20" i="11"/>
  <c r="G20" i="11"/>
  <c r="A20" i="11"/>
  <c r="B19" i="11"/>
  <c r="C19" i="11"/>
  <c r="D19" i="11"/>
  <c r="E19" i="11"/>
  <c r="G19" i="11"/>
  <c r="D18" i="11"/>
  <c r="E18" i="11"/>
  <c r="F18" i="11"/>
  <c r="G18" i="11"/>
  <c r="A18" i="11"/>
  <c r="K28" i="5"/>
  <c r="K27" i="5"/>
  <c r="J28" i="5"/>
  <c r="J27" i="5"/>
  <c r="B67" i="5"/>
  <c r="B68" i="5"/>
  <c r="B69" i="5"/>
  <c r="B70" i="5"/>
  <c r="B56" i="5"/>
  <c r="B57" i="5"/>
  <c r="B58" i="5"/>
  <c r="B59" i="5"/>
  <c r="B60" i="5"/>
  <c r="B61" i="5"/>
  <c r="B62" i="5"/>
  <c r="B63" i="5"/>
  <c r="B64" i="5"/>
  <c r="B65" i="5"/>
  <c r="B66" i="5"/>
  <c r="B55" i="5"/>
  <c r="B29" i="5"/>
  <c r="B30" i="5"/>
  <c r="B31" i="5"/>
  <c r="B28" i="5"/>
  <c r="B25" i="5"/>
  <c r="B26" i="5"/>
  <c r="B27" i="5"/>
  <c r="B24" i="5"/>
  <c r="B21" i="5"/>
  <c r="B22" i="5"/>
  <c r="B23" i="5"/>
  <c r="B20" i="5"/>
  <c r="B17" i="5"/>
  <c r="B18" i="5"/>
  <c r="B19" i="5"/>
  <c r="B16" i="5"/>
  <c r="U11" i="5"/>
  <c r="V11" i="5"/>
  <c r="S12" i="5"/>
  <c r="T12" i="5"/>
  <c r="U13" i="5"/>
  <c r="V13" i="5"/>
  <c r="U14" i="5"/>
  <c r="V14" i="5"/>
  <c r="S15" i="5"/>
  <c r="T15" i="5"/>
  <c r="V15" i="5"/>
  <c r="S16" i="5"/>
  <c r="U16" i="5"/>
  <c r="V16" i="5"/>
  <c r="R14" i="5"/>
  <c r="R15" i="5"/>
  <c r="R16" i="5"/>
  <c r="R11" i="5"/>
  <c r="S10" i="5"/>
  <c r="T10" i="5"/>
  <c r="T16" i="5" s="1"/>
  <c r="U10" i="5"/>
  <c r="V10" i="5"/>
  <c r="R10" i="5"/>
  <c r="S8" i="5"/>
  <c r="S14" i="5" s="1"/>
  <c r="T8" i="5"/>
  <c r="T14" i="5" s="1"/>
  <c r="U8" i="5"/>
  <c r="V8" i="5"/>
  <c r="S9" i="5"/>
  <c r="T9" i="5"/>
  <c r="U9" i="5"/>
  <c r="U15" i="5" s="1"/>
  <c r="V9" i="5"/>
  <c r="R9" i="5"/>
  <c r="R8" i="5"/>
  <c r="S5" i="5"/>
  <c r="S11" i="5" s="1"/>
  <c r="T5" i="5"/>
  <c r="T11" i="5" s="1"/>
  <c r="U5" i="5"/>
  <c r="V5" i="5"/>
  <c r="S6" i="5"/>
  <c r="T6" i="5"/>
  <c r="U6" i="5"/>
  <c r="U12" i="5" s="1"/>
  <c r="V6" i="5"/>
  <c r="V12" i="5" s="1"/>
  <c r="S7" i="5"/>
  <c r="S13" i="5" s="1"/>
  <c r="T7" i="5"/>
  <c r="T13" i="5" s="1"/>
  <c r="U7" i="5"/>
  <c r="V7" i="5"/>
  <c r="R6" i="5"/>
  <c r="R12" i="5" s="1"/>
  <c r="R7" i="5"/>
  <c r="R13" i="5" s="1"/>
  <c r="R5" i="5"/>
  <c r="C17" i="9"/>
  <c r="F96" i="9"/>
  <c r="I96" i="9"/>
  <c r="L96" i="9"/>
  <c r="O96" i="9"/>
  <c r="R96" i="9"/>
  <c r="U96" i="9"/>
  <c r="X96" i="9"/>
  <c r="F97" i="9"/>
  <c r="I97" i="9"/>
  <c r="L97" i="9"/>
  <c r="O97" i="9"/>
  <c r="R97" i="9"/>
  <c r="U97" i="9"/>
  <c r="X97" i="9"/>
  <c r="F98" i="9"/>
  <c r="I98" i="9"/>
  <c r="L98" i="9"/>
  <c r="O98" i="9"/>
  <c r="R98" i="9"/>
  <c r="U98" i="9"/>
  <c r="X98" i="9"/>
  <c r="F99" i="9"/>
  <c r="I99" i="9"/>
  <c r="L99" i="9"/>
  <c r="O99" i="9"/>
  <c r="R99" i="9"/>
  <c r="U99" i="9"/>
  <c r="X99" i="9"/>
  <c r="F100" i="9"/>
  <c r="I100" i="9"/>
  <c r="L100" i="9"/>
  <c r="O100" i="9"/>
  <c r="R100" i="9"/>
  <c r="U100" i="9"/>
  <c r="X100" i="9"/>
  <c r="F101" i="9"/>
  <c r="I101" i="9"/>
  <c r="L101" i="9"/>
  <c r="O101" i="9"/>
  <c r="R101" i="9"/>
  <c r="U101" i="9"/>
  <c r="X101" i="9"/>
  <c r="F102" i="9"/>
  <c r="I102" i="9"/>
  <c r="L102" i="9"/>
  <c r="O102" i="9"/>
  <c r="R102" i="9"/>
  <c r="U102" i="9"/>
  <c r="X102" i="9"/>
  <c r="C97" i="9"/>
  <c r="C98" i="9"/>
  <c r="C99" i="9"/>
  <c r="C100" i="9"/>
  <c r="C101" i="9"/>
  <c r="C102" i="9"/>
  <c r="C96" i="9"/>
  <c r="C63" i="9"/>
  <c r="F63" i="9"/>
  <c r="I63" i="9"/>
  <c r="L63" i="9"/>
  <c r="O63" i="9"/>
  <c r="R63" i="9"/>
  <c r="U63" i="9"/>
  <c r="X63" i="9"/>
  <c r="C64" i="9"/>
  <c r="F64" i="9"/>
  <c r="I64" i="9"/>
  <c r="L64" i="9"/>
  <c r="O64" i="9"/>
  <c r="R64" i="9"/>
  <c r="U64" i="9"/>
  <c r="X64" i="9"/>
  <c r="C65" i="9"/>
  <c r="F65" i="9"/>
  <c r="I65" i="9"/>
  <c r="L65" i="9"/>
  <c r="O65" i="9"/>
  <c r="R65" i="9"/>
  <c r="U65" i="9"/>
  <c r="X65" i="9"/>
  <c r="C66" i="9"/>
  <c r="F66" i="9"/>
  <c r="I66" i="9"/>
  <c r="L66" i="9"/>
  <c r="O66" i="9"/>
  <c r="R66" i="9"/>
  <c r="U66" i="9"/>
  <c r="X66" i="9"/>
  <c r="C67" i="9"/>
  <c r="F67" i="9"/>
  <c r="I67" i="9"/>
  <c r="L67" i="9"/>
  <c r="O67" i="9"/>
  <c r="R67" i="9"/>
  <c r="U67" i="9"/>
  <c r="X67" i="9"/>
  <c r="C68" i="9"/>
  <c r="F68" i="9"/>
  <c r="I68" i="9"/>
  <c r="L68" i="9"/>
  <c r="O68" i="9"/>
  <c r="R68" i="9"/>
  <c r="U68" i="9"/>
  <c r="X68" i="9"/>
  <c r="F62" i="9"/>
  <c r="I62" i="9"/>
  <c r="L62" i="9"/>
  <c r="O62" i="9"/>
  <c r="R62" i="9"/>
  <c r="U62" i="9"/>
  <c r="X62" i="9"/>
  <c r="C62" i="9"/>
  <c r="I74" i="9"/>
  <c r="F73" i="9"/>
  <c r="I73" i="9"/>
  <c r="L73" i="9"/>
  <c r="O73" i="9"/>
  <c r="R73" i="9"/>
  <c r="U73" i="9"/>
  <c r="X73" i="9"/>
  <c r="F74" i="9"/>
  <c r="L74" i="9"/>
  <c r="O74" i="9"/>
  <c r="R74" i="9"/>
  <c r="U74" i="9"/>
  <c r="X74" i="9"/>
  <c r="F75" i="9"/>
  <c r="I75" i="9"/>
  <c r="L75" i="9"/>
  <c r="O75" i="9"/>
  <c r="R75" i="9"/>
  <c r="U75" i="9"/>
  <c r="X75" i="9"/>
  <c r="F76" i="9"/>
  <c r="I76" i="9"/>
  <c r="L76" i="9"/>
  <c r="O76" i="9"/>
  <c r="R76" i="9"/>
  <c r="U76" i="9"/>
  <c r="X76" i="9"/>
  <c r="F77" i="9"/>
  <c r="I77" i="9"/>
  <c r="L77" i="9"/>
  <c r="O77" i="9"/>
  <c r="R77" i="9"/>
  <c r="U77" i="9"/>
  <c r="X77" i="9"/>
  <c r="F78" i="9"/>
  <c r="I78" i="9"/>
  <c r="L78" i="9"/>
  <c r="O78" i="9"/>
  <c r="R78" i="9"/>
  <c r="U78" i="9"/>
  <c r="X78" i="9"/>
  <c r="F79" i="9"/>
  <c r="I79" i="9"/>
  <c r="L79" i="9"/>
  <c r="O79" i="9"/>
  <c r="R79" i="9"/>
  <c r="U79" i="9"/>
  <c r="X79" i="9"/>
  <c r="C74" i="9"/>
  <c r="C75" i="9"/>
  <c r="C76" i="9"/>
  <c r="C77" i="9"/>
  <c r="C78" i="9"/>
  <c r="C79" i="9"/>
  <c r="C73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C40" i="9"/>
  <c r="C41" i="9"/>
  <c r="C42" i="9"/>
  <c r="C43" i="9"/>
  <c r="C44" i="9"/>
  <c r="C45" i="9"/>
  <c r="C39" i="9"/>
  <c r="M18" i="9"/>
  <c r="I20" i="9"/>
  <c r="J23" i="9"/>
  <c r="T23" i="9"/>
  <c r="C18" i="9"/>
  <c r="D18" i="9"/>
  <c r="E18" i="9"/>
  <c r="F18" i="9"/>
  <c r="G18" i="9"/>
  <c r="H18" i="9"/>
  <c r="I18" i="9"/>
  <c r="J18" i="9"/>
  <c r="K18" i="9"/>
  <c r="L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C20" i="9"/>
  <c r="D20" i="9"/>
  <c r="E20" i="9"/>
  <c r="F20" i="9"/>
  <c r="G20" i="9"/>
  <c r="H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C23" i="9"/>
  <c r="D23" i="9"/>
  <c r="E23" i="9"/>
  <c r="F23" i="9"/>
  <c r="G23" i="9"/>
  <c r="H23" i="9"/>
  <c r="I23" i="9"/>
  <c r="K23" i="9"/>
  <c r="L23" i="9"/>
  <c r="M23" i="9"/>
  <c r="N23" i="9"/>
  <c r="O23" i="9"/>
  <c r="P23" i="9"/>
  <c r="Q23" i="9"/>
  <c r="R23" i="9"/>
  <c r="S23" i="9"/>
  <c r="U23" i="9"/>
  <c r="V23" i="9"/>
  <c r="W23" i="9"/>
  <c r="X23" i="9"/>
  <c r="Y23" i="9"/>
  <c r="Z23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H21" i="8"/>
  <c r="H19" i="8"/>
  <c r="H18" i="8"/>
  <c r="H17" i="8"/>
  <c r="H16" i="8"/>
  <c r="AS20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C32" i="7"/>
  <c r="AU20" i="7"/>
  <c r="AT20" i="7"/>
  <c r="AO20" i="7"/>
  <c r="AN20" i="7"/>
  <c r="AM20" i="7"/>
  <c r="AI20" i="7"/>
  <c r="AH20" i="7"/>
  <c r="AG20" i="7"/>
  <c r="AC20" i="7"/>
  <c r="AB20" i="7"/>
  <c r="AA20" i="7"/>
  <c r="W20" i="7"/>
  <c r="V20" i="7"/>
  <c r="U20" i="7"/>
  <c r="Q20" i="7"/>
  <c r="P20" i="7"/>
  <c r="O20" i="7"/>
  <c r="K20" i="7"/>
  <c r="J20" i="7"/>
  <c r="I20" i="7"/>
  <c r="E20" i="7"/>
  <c r="D20" i="7"/>
  <c r="C20" i="7"/>
  <c r="F22" i="8" l="1"/>
  <c r="H22" i="8" s="1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C71" i="6"/>
  <c r="AC31" i="6"/>
  <c r="E10" i="6"/>
  <c r="D10" i="6"/>
  <c r="C10" i="6"/>
  <c r="AU52" i="6"/>
  <c r="AT52" i="6"/>
  <c r="AS52" i="6"/>
  <c r="AO52" i="6"/>
  <c r="AN52" i="6"/>
  <c r="AM52" i="6"/>
  <c r="AI52" i="6"/>
  <c r="AH52" i="6"/>
  <c r="AG52" i="6"/>
  <c r="AC52" i="6"/>
  <c r="AB52" i="6"/>
  <c r="AA52" i="6"/>
  <c r="W52" i="6"/>
  <c r="V52" i="6"/>
  <c r="U52" i="6"/>
  <c r="Q52" i="6"/>
  <c r="P52" i="6"/>
  <c r="O52" i="6"/>
  <c r="K52" i="6"/>
  <c r="J52" i="6"/>
  <c r="I52" i="6"/>
  <c r="E52" i="6"/>
  <c r="D52" i="6"/>
  <c r="C52" i="6"/>
  <c r="AU45" i="6"/>
  <c r="AT45" i="6"/>
  <c r="AS45" i="6"/>
  <c r="AO45" i="6"/>
  <c r="AN45" i="6"/>
  <c r="AM45" i="6"/>
  <c r="AI45" i="6"/>
  <c r="AH45" i="6"/>
  <c r="AG45" i="6"/>
  <c r="AC45" i="6"/>
  <c r="AB45" i="6"/>
  <c r="AA45" i="6"/>
  <c r="W45" i="6"/>
  <c r="V45" i="6"/>
  <c r="U45" i="6"/>
  <c r="Q45" i="6"/>
  <c r="P45" i="6"/>
  <c r="O45" i="6"/>
  <c r="K45" i="6"/>
  <c r="J45" i="6"/>
  <c r="I45" i="6"/>
  <c r="E45" i="6"/>
  <c r="D45" i="6"/>
  <c r="C45" i="6"/>
  <c r="AU38" i="6"/>
  <c r="AT38" i="6"/>
  <c r="AS38" i="6"/>
  <c r="AO38" i="6"/>
  <c r="AN38" i="6"/>
  <c r="AM38" i="6"/>
  <c r="AI38" i="6"/>
  <c r="AH38" i="6"/>
  <c r="AG38" i="6"/>
  <c r="AC38" i="6"/>
  <c r="AB38" i="6"/>
  <c r="AA38" i="6"/>
  <c r="W38" i="6"/>
  <c r="V38" i="6"/>
  <c r="U38" i="6"/>
  <c r="Q38" i="6"/>
  <c r="P38" i="6"/>
  <c r="O38" i="6"/>
  <c r="K38" i="6"/>
  <c r="J38" i="6"/>
  <c r="I38" i="6"/>
  <c r="E38" i="6"/>
  <c r="D38" i="6"/>
  <c r="C38" i="6"/>
  <c r="AU31" i="6"/>
  <c r="AT31" i="6"/>
  <c r="AS31" i="6"/>
  <c r="AO31" i="6"/>
  <c r="AN31" i="6"/>
  <c r="AM31" i="6"/>
  <c r="AI31" i="6"/>
  <c r="AH31" i="6"/>
  <c r="AG31" i="6"/>
  <c r="AU24" i="6"/>
  <c r="AT24" i="6"/>
  <c r="AS24" i="6"/>
  <c r="AO24" i="6"/>
  <c r="AN24" i="6"/>
  <c r="AM24" i="6"/>
  <c r="AI24" i="6"/>
  <c r="AH24" i="6"/>
  <c r="AG24" i="6"/>
  <c r="AU17" i="6"/>
  <c r="AT17" i="6"/>
  <c r="AS17" i="6"/>
  <c r="AO17" i="6"/>
  <c r="AN17" i="6"/>
  <c r="AM17" i="6"/>
  <c r="AI17" i="6"/>
  <c r="AH17" i="6"/>
  <c r="AG17" i="6"/>
  <c r="AU10" i="6"/>
  <c r="AT10" i="6"/>
  <c r="AS10" i="6"/>
  <c r="AO10" i="6"/>
  <c r="AN10" i="6"/>
  <c r="AM10" i="6"/>
  <c r="AI10" i="6"/>
  <c r="AH10" i="6"/>
  <c r="AG10" i="6"/>
  <c r="AB31" i="6"/>
  <c r="AA31" i="6"/>
  <c r="W31" i="6"/>
  <c r="V31" i="6"/>
  <c r="U31" i="6"/>
  <c r="Q31" i="6"/>
  <c r="P31" i="6"/>
  <c r="O31" i="6"/>
  <c r="K31" i="6"/>
  <c r="J31" i="6"/>
  <c r="I31" i="6"/>
  <c r="E31" i="6"/>
  <c r="D31" i="6"/>
  <c r="C31" i="6"/>
  <c r="AC24" i="6"/>
  <c r="AB24" i="6"/>
  <c r="AA24" i="6"/>
  <c r="W24" i="6"/>
  <c r="V24" i="6"/>
  <c r="U24" i="6"/>
  <c r="Q24" i="6"/>
  <c r="P24" i="6"/>
  <c r="O24" i="6"/>
  <c r="K24" i="6"/>
  <c r="J24" i="6"/>
  <c r="I24" i="6"/>
  <c r="E24" i="6"/>
  <c r="D24" i="6"/>
  <c r="C24" i="6"/>
  <c r="AC17" i="6"/>
  <c r="AB17" i="6"/>
  <c r="AA17" i="6"/>
  <c r="W17" i="6"/>
  <c r="V17" i="6"/>
  <c r="U17" i="6"/>
  <c r="Q17" i="6"/>
  <c r="P17" i="6"/>
  <c r="O17" i="6"/>
  <c r="E17" i="6"/>
  <c r="D17" i="6"/>
  <c r="C17" i="6"/>
  <c r="K10" i="6"/>
  <c r="J10" i="6"/>
  <c r="I10" i="6"/>
  <c r="K17" i="6"/>
  <c r="J17" i="6"/>
  <c r="I17" i="6"/>
  <c r="AC10" i="6"/>
  <c r="AB10" i="6"/>
  <c r="AA10" i="6"/>
  <c r="W10" i="6"/>
  <c r="V10" i="6"/>
  <c r="U10" i="6"/>
  <c r="Q10" i="6"/>
  <c r="P10" i="6"/>
  <c r="O10" i="6"/>
  <c r="E10" i="4"/>
  <c r="AC31" i="4"/>
  <c r="AB31" i="4"/>
  <c r="AA31" i="4"/>
  <c r="W31" i="4"/>
  <c r="V31" i="4"/>
  <c r="U31" i="4"/>
  <c r="Q31" i="4"/>
  <c r="P31" i="4"/>
  <c r="O31" i="4"/>
  <c r="K31" i="4"/>
  <c r="J31" i="4"/>
  <c r="I31" i="4"/>
  <c r="E31" i="4"/>
  <c r="D31" i="4"/>
  <c r="C31" i="4"/>
  <c r="AC24" i="4"/>
  <c r="AB24" i="4"/>
  <c r="AA24" i="4"/>
  <c r="W24" i="4"/>
  <c r="V24" i="4"/>
  <c r="U24" i="4"/>
  <c r="Q24" i="4"/>
  <c r="P24" i="4"/>
  <c r="O24" i="4"/>
  <c r="K24" i="4"/>
  <c r="J24" i="4"/>
  <c r="I24" i="4"/>
  <c r="E24" i="4"/>
  <c r="D24" i="4"/>
  <c r="C24" i="4"/>
  <c r="AC17" i="4"/>
  <c r="AB17" i="4"/>
  <c r="AA17" i="4"/>
  <c r="W17" i="4"/>
  <c r="V17" i="4"/>
  <c r="U17" i="4"/>
  <c r="Q17" i="4"/>
  <c r="P17" i="4"/>
  <c r="O17" i="4"/>
  <c r="K17" i="4"/>
  <c r="J17" i="4"/>
  <c r="I17" i="4"/>
  <c r="E17" i="4"/>
  <c r="D17" i="4"/>
  <c r="C17" i="4"/>
  <c r="AC10" i="4"/>
  <c r="AB10" i="4"/>
  <c r="AA10" i="4"/>
  <c r="W10" i="4"/>
  <c r="V10" i="4"/>
  <c r="U10" i="4"/>
  <c r="Q10" i="4"/>
  <c r="P10" i="4"/>
  <c r="O10" i="4"/>
  <c r="K10" i="4"/>
  <c r="J10" i="4"/>
  <c r="I10" i="4"/>
  <c r="D10" i="4"/>
  <c r="C10" i="4"/>
  <c r="K11" i="2"/>
  <c r="M11" i="2" s="1"/>
  <c r="G11" i="2"/>
  <c r="F11" i="2"/>
  <c r="K10" i="2"/>
  <c r="M10" i="2" s="1"/>
  <c r="G10" i="2"/>
  <c r="H10" i="2" s="1"/>
  <c r="F10" i="2"/>
  <c r="K9" i="2"/>
  <c r="M9" i="2" s="1"/>
  <c r="G9" i="2"/>
  <c r="F9" i="2"/>
  <c r="K8" i="2"/>
  <c r="M8" i="2" s="1"/>
  <c r="G8" i="2"/>
  <c r="H8" i="2" s="1"/>
  <c r="I8" i="2" s="1"/>
  <c r="F8" i="2"/>
  <c r="K23" i="2"/>
  <c r="K22" i="2"/>
  <c r="K21" i="2"/>
  <c r="K20" i="2"/>
  <c r="F20" i="2"/>
  <c r="G21" i="2"/>
  <c r="H21" i="2" s="1"/>
  <c r="I21" i="2" s="1"/>
  <c r="G22" i="2"/>
  <c r="H22" i="2" s="1"/>
  <c r="I22" i="2" s="1"/>
  <c r="G23" i="2"/>
  <c r="G20" i="2"/>
  <c r="F21" i="2"/>
  <c r="F22" i="2"/>
  <c r="F23" i="2"/>
  <c r="K11" i="1"/>
  <c r="F28" i="1"/>
  <c r="F27" i="1"/>
  <c r="F26" i="1"/>
  <c r="F25" i="1"/>
  <c r="F24" i="1"/>
  <c r="F23" i="1"/>
  <c r="F22" i="1"/>
  <c r="F21" i="1"/>
  <c r="F20" i="1"/>
  <c r="F19" i="1"/>
  <c r="F18" i="1"/>
  <c r="H11" i="2" l="1"/>
  <c r="I11" i="2" s="1"/>
  <c r="H9" i="2"/>
  <c r="I9" i="2" s="1"/>
  <c r="K12" i="2"/>
  <c r="M12" i="2" s="1"/>
  <c r="I10" i="2"/>
  <c r="H23" i="2"/>
  <c r="I23" i="2" s="1"/>
  <c r="K24" i="2"/>
  <c r="H20" i="2"/>
  <c r="I20" i="2" s="1"/>
  <c r="F6" i="1"/>
  <c r="F7" i="1"/>
  <c r="F8" i="1"/>
  <c r="F9" i="1"/>
  <c r="F10" i="1"/>
  <c r="F11" i="1"/>
  <c r="F5" i="1"/>
</calcChain>
</file>

<file path=xl/sharedStrings.xml><?xml version="1.0" encoding="utf-8"?>
<sst xmlns="http://schemas.openxmlformats.org/spreadsheetml/2006/main" count="1365" uniqueCount="215">
  <si>
    <t>T</t>
  </si>
  <si>
    <t>I</t>
  </si>
  <si>
    <t>F</t>
  </si>
  <si>
    <t>Linguistic term for the criteria and expert</t>
  </si>
  <si>
    <t>VH</t>
  </si>
  <si>
    <t>H</t>
  </si>
  <si>
    <t>FH</t>
  </si>
  <si>
    <t>M</t>
  </si>
  <si>
    <t>FL</t>
  </si>
  <si>
    <t>L</t>
  </si>
  <si>
    <t>VL</t>
  </si>
  <si>
    <t>L Term</t>
  </si>
  <si>
    <t>t^2+I^2+F^2</t>
  </si>
  <si>
    <t>PNSs</t>
  </si>
  <si>
    <t xml:space="preserve"> </t>
  </si>
  <si>
    <t>EF</t>
  </si>
  <si>
    <t>VVF</t>
  </si>
  <si>
    <t>VF</t>
  </si>
  <si>
    <t>MF</t>
  </si>
  <si>
    <t>MU</t>
  </si>
  <si>
    <t>U</t>
  </si>
  <si>
    <t>VU</t>
  </si>
  <si>
    <t>VVU</t>
  </si>
  <si>
    <t>EU</t>
  </si>
  <si>
    <t>Experts weights</t>
  </si>
  <si>
    <t>E1</t>
  </si>
  <si>
    <t>E2</t>
  </si>
  <si>
    <t>E3</t>
  </si>
  <si>
    <t>E4</t>
  </si>
  <si>
    <t>E5</t>
  </si>
  <si>
    <t>((B8+D8*(B8/(B8+C8)))+(B9+D9*(B9/(B9+C9)))+(B10+D10*(B10/(B10+C10)))+(B11+D11*(B11/(B11+C11))))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</si>
  <si>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</si>
  <si>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</si>
  <si>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</si>
  <si>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</si>
  <si>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</si>
  <si>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</si>
  <si>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</si>
  <si>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</si>
  <si>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</si>
  <si>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</si>
  <si>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Experts of our paper</t>
  </si>
  <si>
    <t>Experts of Two-phase paper</t>
  </si>
  <si>
    <t>Expert weight</t>
  </si>
  <si>
    <t>Aggregation</t>
  </si>
  <si>
    <t>P'11</t>
  </si>
  <si>
    <t>P'12</t>
  </si>
  <si>
    <t>P'13</t>
  </si>
  <si>
    <t>P'14</t>
  </si>
  <si>
    <t>P'15</t>
  </si>
  <si>
    <t>P'21</t>
  </si>
  <si>
    <t>P'22</t>
  </si>
  <si>
    <t>P'23</t>
  </si>
  <si>
    <t>P'24</t>
  </si>
  <si>
    <t>P'25</t>
  </si>
  <si>
    <t>P'31</t>
  </si>
  <si>
    <t>P'32</t>
  </si>
  <si>
    <t>P'33</t>
  </si>
  <si>
    <t>P'34</t>
  </si>
  <si>
    <t>P'35</t>
  </si>
  <si>
    <t>P'41</t>
  </si>
  <si>
    <t>P'42</t>
  </si>
  <si>
    <t>P'43</t>
  </si>
  <si>
    <t>P'44</t>
  </si>
  <si>
    <t>P'45</t>
  </si>
  <si>
    <t>Aggregated Pythagorean fuzzy decision matrix (Two Phase Group decision aiding System PFN wala)</t>
  </si>
  <si>
    <t>Aggregated Pythagorean Neutrosophic decision matrix</t>
  </si>
  <si>
    <t>P'16</t>
  </si>
  <si>
    <t>P'17</t>
  </si>
  <si>
    <t>P'18</t>
  </si>
  <si>
    <t>P'26</t>
  </si>
  <si>
    <t>P'27</t>
  </si>
  <si>
    <t>P'28</t>
  </si>
  <si>
    <t>P'36</t>
  </si>
  <si>
    <t>P'37</t>
  </si>
  <si>
    <t>P'38</t>
  </si>
  <si>
    <t xml:space="preserve">  </t>
  </si>
  <si>
    <t>P'46</t>
  </si>
  <si>
    <t>P'47</t>
  </si>
  <si>
    <t>P'48</t>
  </si>
  <si>
    <t>P'51</t>
  </si>
  <si>
    <t>P'52</t>
  </si>
  <si>
    <t>P'53</t>
  </si>
  <si>
    <t>P'54</t>
  </si>
  <si>
    <t>P'55</t>
  </si>
  <si>
    <t>P'56</t>
  </si>
  <si>
    <t>P'57</t>
  </si>
  <si>
    <t>P'58</t>
  </si>
  <si>
    <t>P'61</t>
  </si>
  <si>
    <t>P'62</t>
  </si>
  <si>
    <t>P'63</t>
  </si>
  <si>
    <t>P'64</t>
  </si>
  <si>
    <t>P'65</t>
  </si>
  <si>
    <t>P'66</t>
  </si>
  <si>
    <t>P'67</t>
  </si>
  <si>
    <t>P'68</t>
  </si>
  <si>
    <t>P'71</t>
  </si>
  <si>
    <t>P'72</t>
  </si>
  <si>
    <t>P'73</t>
  </si>
  <si>
    <t>P'74</t>
  </si>
  <si>
    <t>P'75</t>
  </si>
  <si>
    <t>P'76</t>
  </si>
  <si>
    <t>P'77</t>
  </si>
  <si>
    <t>P'78</t>
  </si>
  <si>
    <t>Copy Values from above matrix</t>
  </si>
  <si>
    <t>round formula applied in copied APNDM</t>
  </si>
  <si>
    <t>paste value only from rounded four digit of APNDM</t>
  </si>
  <si>
    <t>Chi1</t>
  </si>
  <si>
    <t>Chi2</t>
  </si>
  <si>
    <t>Chi3</t>
  </si>
  <si>
    <t>Chi4</t>
  </si>
  <si>
    <t>Chi5</t>
  </si>
  <si>
    <t>Chi6</t>
  </si>
  <si>
    <t>Chi7</t>
  </si>
  <si>
    <t>Chi8</t>
  </si>
  <si>
    <t>Chi8 (-)</t>
  </si>
  <si>
    <t>Chi7 (+)</t>
  </si>
  <si>
    <t>Chi6 (+)</t>
  </si>
  <si>
    <t>Chi4 (+)</t>
  </si>
  <si>
    <t>Chi2 (+)</t>
  </si>
  <si>
    <t>Chi1 (+)</t>
  </si>
  <si>
    <t>Chi5 (-)</t>
  </si>
  <si>
    <t>Chi3 (-)</t>
  </si>
  <si>
    <t>Normalized APNDM</t>
  </si>
  <si>
    <t>Aggregated Criteria Value (Rounded up to 4 Digit)</t>
  </si>
  <si>
    <t>Paste Valu only----------Aggregated Criteria Value (Rounded up to 4 Digit)</t>
  </si>
  <si>
    <t>Paste Value only-----Aggregated Criteria Value</t>
  </si>
  <si>
    <t>((B14+D14*(B14/(B14+C14)))+(B15+D15*(B15/(B15+C15)))+(B16+D16*(B16/(B16+C16)))+(B17+D17*(B17/(B17+C17)))+(B18+D18*(B18/(B18+C18)))+(B19+D19*(B19/(B19+C19)))+(B20+D20*(B20/(B20+C20)))+(B21+D21*(B21/(B21+C21))))</t>
  </si>
  <si>
    <t>A1</t>
  </si>
  <si>
    <t>A2</t>
  </si>
  <si>
    <t>A3</t>
  </si>
  <si>
    <t>A4</t>
  </si>
  <si>
    <t>A5</t>
  </si>
  <si>
    <t>A6</t>
  </si>
  <si>
    <t>A7</t>
  </si>
  <si>
    <t>Criteria Weights</t>
  </si>
  <si>
    <t>Weighted Normalized Aggregated PNDM</t>
  </si>
  <si>
    <t>Paste Value only------Weighted Normalized Aggregated PNDM</t>
  </si>
  <si>
    <t>Rounded up to 4 Digit------Weighted Normalized Aggregated PNDM</t>
  </si>
  <si>
    <t>Paste Value only---Rounded up to 4 Digit------Weighted Normalized Aggregated PNDM</t>
  </si>
  <si>
    <t>indiffirence</t>
  </si>
  <si>
    <t>preference</t>
  </si>
  <si>
    <t>veto</t>
  </si>
  <si>
    <t>Condition(T^2+I^2+F^2) Validation or Accuracy Value----Paste Value only---Rounded up to 4 Digit------Weighted Normalized Aggregated PNDM</t>
  </si>
  <si>
    <t>Score Value------Weighted Normalized Aggregated PNDM</t>
  </si>
  <si>
    <t>Paste Value only---Score Value------Weighted Normalized Aggregated PNDM</t>
  </si>
  <si>
    <t>rounded up to 4Digit---Score Value------Weighted Normalized Aggregated PNDM</t>
  </si>
  <si>
    <t>q</t>
  </si>
  <si>
    <t>p</t>
  </si>
  <si>
    <t>paste value only----rounded up to 4Digit---Score Value------Weighted Normalized Aggregated PNDM</t>
  </si>
  <si>
    <t>K1</t>
  </si>
  <si>
    <t>K2</t>
  </si>
  <si>
    <t>K3</t>
  </si>
  <si>
    <t>K4</t>
  </si>
  <si>
    <t>K5</t>
  </si>
  <si>
    <t>K7</t>
  </si>
  <si>
    <t>K6</t>
  </si>
  <si>
    <t>K8</t>
  </si>
  <si>
    <t>Formula-------------------------------Partial Concordance matrix with respect to each crriteria</t>
  </si>
  <si>
    <t>paste value only----------------------------Formula-------------------------------Partial Concordance matrix with respect to each crriteria</t>
  </si>
  <si>
    <t>rounded----------------------paste value only----------------------------Formula-------------------------------Partial Concordance matrix with respect to each crriteria</t>
  </si>
  <si>
    <t>paste value only-----------rounded----------------------paste value only----------------------------Formula-------------------------------Partial Concordance matrix with respect to each crriteria</t>
  </si>
  <si>
    <t>paste value only-------------------Score values of threshold functions</t>
  </si>
  <si>
    <t>accuracy value</t>
  </si>
  <si>
    <t>score value</t>
  </si>
  <si>
    <t>t^2-I^2-F^2</t>
  </si>
  <si>
    <t>(q) indiffirence</t>
  </si>
  <si>
    <t>(v) veto</t>
  </si>
  <si>
    <t>(p) preference</t>
  </si>
  <si>
    <t>partial concordance function-----------paste value only-----------rounded----------------------paste value only----------------------------Formula-------------------------------Partial Concordance matrix with respect to each crriteria</t>
  </si>
  <si>
    <t>paste value only--------------------partial concordance function-----------paste value only-----------rounded----------------------paste value only----------------------------Formula-------------------------------Partial Concordance matrix with respect to each crriteria</t>
  </si>
  <si>
    <t>rounded---------------paste value only--------------------partial concordance function-----------paste value only-----------rounded----------------------paste value only----------------------------Formula-------------------------------Partial Concordance matrix with respect to each crriteria</t>
  </si>
  <si>
    <t>paste value only--------rounded---------------paste value only--------------------partial concordance function-----------paste value only-----------rounded----------------------paste value only----------------------------Formula-------------------------------Partial Concordance matrix with respect to each crriteria</t>
  </si>
  <si>
    <t>K</t>
  </si>
  <si>
    <t>CW</t>
  </si>
  <si>
    <t>Rounded</t>
  </si>
  <si>
    <t>Past Value</t>
  </si>
  <si>
    <t>S(cw)1</t>
  </si>
  <si>
    <t>S(cw)2</t>
  </si>
  <si>
    <t>S(cw)3</t>
  </si>
  <si>
    <t>S(cw)4</t>
  </si>
  <si>
    <t>S(cw)5</t>
  </si>
  <si>
    <t>S(cw)6</t>
  </si>
  <si>
    <t>S(cw)7</t>
  </si>
  <si>
    <t>S(cw)8</t>
  </si>
  <si>
    <t>Comprehensive Concordance index matrix</t>
  </si>
  <si>
    <t>Paste value only--Comprehensive Concordance index matrix</t>
  </si>
  <si>
    <t>rounded----Paste value only--Comprehensive Concordance index matrix</t>
  </si>
  <si>
    <t>paste value only---rounded----Paste value only--Comprehensive Concordance index matrix</t>
  </si>
  <si>
    <t>Diagonal removed</t>
  </si>
  <si>
    <t>partial discordance function-----------paste value only-----------rounded----------------------paste value only----------------------------Formula-------------------------------Partial discordance matrix with respect to each crriteria</t>
  </si>
  <si>
    <t>paste value only------partial discordance function-----------paste value only-----------rounded----------------------paste value only----------------------------Formula-------------------------------Partial discordance matrix with respect to each crriteria</t>
  </si>
  <si>
    <t>1</t>
  </si>
  <si>
    <t>0</t>
  </si>
  <si>
    <t>rounded-------------paste value only------partial discordance function-----------paste value only-----------rounded----------------------paste value only----------------------------Formula-------------------------------Partial discordance matrix with respect to each crriteria</t>
  </si>
  <si>
    <t>paste value only-----rounded-------------paste value only------partial discordance function-----------paste value only-----------rounded----------------------paste value only----------------------------Formula-------------------------------Partial discordance matrix with respect to each crriteria</t>
  </si>
  <si>
    <t>d1</t>
  </si>
  <si>
    <t>d2</t>
  </si>
  <si>
    <t>d3</t>
  </si>
  <si>
    <t>d4</t>
  </si>
  <si>
    <t>d5</t>
  </si>
  <si>
    <t>d6</t>
  </si>
  <si>
    <t>d7</t>
  </si>
  <si>
    <t>d8</t>
  </si>
  <si>
    <t>a1</t>
  </si>
  <si>
    <t>a2</t>
  </si>
  <si>
    <t>a3</t>
  </si>
  <si>
    <t>a4</t>
  </si>
  <si>
    <t>a5</t>
  </si>
  <si>
    <t>a6</t>
  </si>
  <si>
    <t>a7</t>
  </si>
  <si>
    <t>phi+</t>
  </si>
  <si>
    <t>phi-</t>
  </si>
  <si>
    <t>net Credibility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</si>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</sst>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3" xfId="0" applyFill="1" applyBorder="1"/>
    <xf numFmtId="0" fontId="0" fillId="3" borderId="0" xfId="0" applyFill="1"/>
    <xf numFmtId="0" fontId="0" fillId="3" borderId="8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5" xfId="0" applyFill="1" applyBorder="1"/>
    <xf numFmtId="0" fontId="0" fillId="2" borderId="6" xfId="0" applyFill="1" applyBorder="1"/>
    <xf numFmtId="0" fontId="0" fillId="4" borderId="0" xfId="0" applyFill="1"/>
    <xf numFmtId="0" fontId="0" fillId="4" borderId="8" xfId="0" applyFill="1" applyBorder="1"/>
    <xf numFmtId="0" fontId="0" fillId="4" borderId="6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5" borderId="0" xfId="0" applyFill="1"/>
    <xf numFmtId="0" fontId="0" fillId="5" borderId="6" xfId="0" applyFill="1" applyBorder="1"/>
    <xf numFmtId="0" fontId="0" fillId="5" borderId="13" xfId="0" applyFill="1" applyBorder="1"/>
    <xf numFmtId="0" fontId="0" fillId="5" borderId="14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6" borderId="0" xfId="0" applyFill="1"/>
    <xf numFmtId="0" fontId="0" fillId="6" borderId="6" xfId="0" applyFill="1" applyBorder="1"/>
    <xf numFmtId="0" fontId="0" fillId="2" borderId="0" xfId="0" applyFill="1" applyAlignment="1">
      <alignment vertical="center" wrapText="1"/>
    </xf>
    <xf numFmtId="0" fontId="0" fillId="0" borderId="2" xfId="0" applyBorder="1"/>
    <xf numFmtId="0" fontId="3" fillId="7" borderId="5" xfId="0" applyFont="1" applyFill="1" applyBorder="1"/>
    <xf numFmtId="0" fontId="3" fillId="7" borderId="0" xfId="0" applyFont="1" applyFill="1"/>
    <xf numFmtId="0" fontId="3" fillId="7" borderId="6" xfId="0" applyFont="1" applyFill="1" applyBorder="1"/>
    <xf numFmtId="0" fontId="3" fillId="7" borderId="7" xfId="0" applyFont="1" applyFill="1" applyBorder="1"/>
    <xf numFmtId="0" fontId="0" fillId="8" borderId="0" xfId="0" applyFill="1"/>
    <xf numFmtId="0" fontId="0" fillId="9" borderId="0" xfId="0" applyFill="1"/>
    <xf numFmtId="0" fontId="0" fillId="5" borderId="1" xfId="0" applyFill="1" applyBorder="1"/>
    <xf numFmtId="0" fontId="0" fillId="2" borderId="1" xfId="0" applyFill="1" applyBorder="1"/>
    <xf numFmtId="0" fontId="0" fillId="5" borderId="8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6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3" fillId="13" borderId="1" xfId="0" applyFont="1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3" fillId="4" borderId="0" xfId="0" applyFont="1" applyFill="1"/>
    <xf numFmtId="0" fontId="0" fillId="3" borderId="1" xfId="0" applyFill="1" applyBorder="1"/>
  </cellXfs>
  <cellStyles count="1">
    <cellStyle name="Normal" xfId="0" builtinId="0"/>
  </cellStyles>
  <dxfs count="31"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7" tint="-0.499984740745262"/>
        </patternFill>
      </fill>
    </dxf>
    <dxf>
      <fill>
        <patternFill>
          <bgColor theme="8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FFCC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0</xdr:row>
          <xdr:rowOff>57150</xdr:rowOff>
        </xdr:from>
        <xdr:to>
          <xdr:col>10</xdr:col>
          <xdr:colOff>504825</xdr:colOff>
          <xdr:row>6</xdr:row>
          <xdr:rowOff>95250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47</xdr:col>
      <xdr:colOff>0</xdr:colOff>
      <xdr:row>11</xdr:row>
      <xdr:rowOff>76201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4573250" cy="217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8"/>
  <sheetViews>
    <sheetView topLeftCell="A7" workbookViewId="0">
      <selection activeCell="J20" sqref="J20"/>
    </sheetView>
  </sheetViews>
  <sheetFormatPr defaultColWidth="9.140625" defaultRowHeight="15" x14ac:dyDescent="0.25"/>
  <cols>
    <col min="1" max="1" width="7.28515625" style="1" customWidth="1"/>
    <col min="2" max="4" width="5.28515625" style="1" customWidth="1"/>
    <col min="5" max="5" width="6" style="1" customWidth="1"/>
    <col min="6" max="6" width="13.85546875" style="1" bestFit="1" customWidth="1"/>
    <col min="7" max="7" width="10.5703125" style="1" bestFit="1" customWidth="1"/>
    <col min="8" max="8" width="10.140625" style="1" bestFit="1" customWidth="1"/>
    <col min="9" max="16384" width="9.140625" style="1"/>
  </cols>
  <sheetData>
    <row r="2" spans="1:11" ht="33.75" customHeight="1" x14ac:dyDescent="0.25">
      <c r="A2" s="83" t="s">
        <v>3</v>
      </c>
      <c r="B2" s="83"/>
      <c r="C2" s="83"/>
      <c r="D2" s="83"/>
      <c r="E2" s="3"/>
      <c r="F2" s="4"/>
    </row>
    <row r="3" spans="1:11" ht="19.5" customHeight="1" x14ac:dyDescent="0.25">
      <c r="A3" s="5" t="s">
        <v>11</v>
      </c>
      <c r="B3" s="82" t="s">
        <v>13</v>
      </c>
      <c r="C3" s="82"/>
      <c r="D3" s="82"/>
      <c r="E3" s="2"/>
      <c r="F3" s="4"/>
    </row>
    <row r="4" spans="1:11" x14ac:dyDescent="0.25">
      <c r="A4" s="4"/>
      <c r="B4" s="4" t="s">
        <v>0</v>
      </c>
      <c r="C4" s="4" t="s">
        <v>1</v>
      </c>
      <c r="D4" s="4" t="s">
        <v>2</v>
      </c>
      <c r="E4" s="4"/>
      <c r="F4" s="4" t="s">
        <v>12</v>
      </c>
    </row>
    <row r="5" spans="1:11" x14ac:dyDescent="0.25">
      <c r="A5" s="4" t="s">
        <v>4</v>
      </c>
      <c r="B5" s="4">
        <v>0.92</v>
      </c>
      <c r="C5" s="4">
        <v>0.25</v>
      </c>
      <c r="D5" s="4">
        <v>0.11</v>
      </c>
      <c r="E5" s="4"/>
      <c r="F5" s="4">
        <f>B5^2+C5^2+D5^2</f>
        <v>0.92100000000000004</v>
      </c>
      <c r="J5" s="1" t="s">
        <v>24</v>
      </c>
    </row>
    <row r="6" spans="1:11" x14ac:dyDescent="0.25">
      <c r="A6" s="4" t="s">
        <v>5</v>
      </c>
      <c r="B6" s="4">
        <v>0.78</v>
      </c>
      <c r="C6" s="4">
        <v>0.35</v>
      </c>
      <c r="D6" s="4">
        <v>0.24</v>
      </c>
      <c r="E6" s="4"/>
      <c r="F6" s="4">
        <f t="shared" ref="F6:F11" si="0">B6^2+C6^2+D6^2</f>
        <v>0.78849999999999998</v>
      </c>
      <c r="J6" s="1" t="s">
        <v>25</v>
      </c>
      <c r="K6" s="1">
        <v>0.37580000000000002</v>
      </c>
    </row>
    <row r="7" spans="1:11" x14ac:dyDescent="0.25">
      <c r="A7" s="4" t="s">
        <v>6</v>
      </c>
      <c r="B7" s="4">
        <v>0.64</v>
      </c>
      <c r="C7" s="4">
        <v>0.42</v>
      </c>
      <c r="D7" s="4">
        <v>0.37</v>
      </c>
      <c r="E7" s="4"/>
      <c r="F7" s="4">
        <f t="shared" si="0"/>
        <v>0.72289999999999999</v>
      </c>
      <c r="J7" s="1" t="s">
        <v>26</v>
      </c>
      <c r="K7" s="1">
        <v>0.31559999999999999</v>
      </c>
    </row>
    <row r="8" spans="1:11" x14ac:dyDescent="0.25">
      <c r="A8" s="4" t="s">
        <v>7</v>
      </c>
      <c r="B8" s="4">
        <v>0.5</v>
      </c>
      <c r="C8" s="4">
        <v>0.55000000000000004</v>
      </c>
      <c r="D8" s="4">
        <v>0.5</v>
      </c>
      <c r="E8" s="4"/>
      <c r="F8" s="4">
        <f t="shared" si="0"/>
        <v>0.80249999999999999</v>
      </c>
      <c r="J8" s="1" t="s">
        <v>27</v>
      </c>
      <c r="K8" s="1">
        <v>0.16819999999999999</v>
      </c>
    </row>
    <row r="9" spans="1:11" x14ac:dyDescent="0.25">
      <c r="A9" s="4" t="s">
        <v>8</v>
      </c>
      <c r="B9" s="4">
        <v>0.36</v>
      </c>
      <c r="C9" s="4">
        <v>0.74</v>
      </c>
      <c r="D9" s="4">
        <v>0.63</v>
      </c>
      <c r="E9" s="4"/>
      <c r="F9" s="4">
        <f t="shared" si="0"/>
        <v>1.0741000000000001</v>
      </c>
      <c r="J9" s="1" t="s">
        <v>28</v>
      </c>
      <c r="K9" s="1">
        <v>9.0200000000000002E-2</v>
      </c>
    </row>
    <row r="10" spans="1:11" x14ac:dyDescent="0.25">
      <c r="A10" s="4" t="s">
        <v>9</v>
      </c>
      <c r="B10" s="4">
        <v>0.22</v>
      </c>
      <c r="C10" s="4">
        <v>0.85</v>
      </c>
      <c r="D10" s="4">
        <v>0.76</v>
      </c>
      <c r="E10" s="4"/>
      <c r="F10" s="4">
        <f t="shared" si="0"/>
        <v>1.3485</v>
      </c>
      <c r="J10" s="1" t="s">
        <v>29</v>
      </c>
      <c r="K10" s="1">
        <v>5.0200000000000002E-2</v>
      </c>
    </row>
    <row r="11" spans="1:11" x14ac:dyDescent="0.25">
      <c r="A11" s="4" t="s">
        <v>10</v>
      </c>
      <c r="B11" s="4">
        <v>0.08</v>
      </c>
      <c r="C11" s="4">
        <v>0.9</v>
      </c>
      <c r="D11" s="4">
        <v>0.89</v>
      </c>
      <c r="E11" s="4"/>
      <c r="F11" s="4">
        <f t="shared" si="0"/>
        <v>1.6085</v>
      </c>
      <c r="I11" s="1" t="s">
        <v>14</v>
      </c>
      <c r="K11" s="1">
        <f>SUM(K6:K10)</f>
        <v>1</v>
      </c>
    </row>
    <row r="15" spans="1:11" ht="30.75" customHeight="1" x14ac:dyDescent="0.25">
      <c r="A15" s="84" t="s">
        <v>3</v>
      </c>
      <c r="B15" s="84"/>
      <c r="C15" s="84"/>
      <c r="D15" s="84"/>
      <c r="E15" s="7"/>
    </row>
    <row r="16" spans="1:11" ht="30" x14ac:dyDescent="0.25">
      <c r="A16" s="8" t="s">
        <v>11</v>
      </c>
      <c r="B16" s="85" t="s">
        <v>13</v>
      </c>
      <c r="C16" s="85"/>
      <c r="D16" s="85"/>
      <c r="E16" s="6"/>
      <c r="F16" s="1" t="s">
        <v>163</v>
      </c>
      <c r="G16" s="1" t="s">
        <v>164</v>
      </c>
    </row>
    <row r="17" spans="1:14" x14ac:dyDescent="0.25">
      <c r="B17" s="1" t="s">
        <v>0</v>
      </c>
      <c r="C17" s="1" t="s">
        <v>1</v>
      </c>
      <c r="D17" s="1" t="s">
        <v>2</v>
      </c>
      <c r="F17" s="1" t="s">
        <v>12</v>
      </c>
      <c r="G17" s="1" t="s">
        <v>165</v>
      </c>
      <c r="N17" s="1">
        <v>0.92</v>
      </c>
    </row>
    <row r="18" spans="1:14" x14ac:dyDescent="0.25">
      <c r="A18" s="1" t="s">
        <v>15</v>
      </c>
      <c r="B18" s="1">
        <v>0.99</v>
      </c>
      <c r="C18" s="1">
        <v>0.05</v>
      </c>
      <c r="D18" s="1">
        <v>0.01</v>
      </c>
      <c r="F18" s="1">
        <f>B18^2+C18^2+D18^2</f>
        <v>0.98269999999999991</v>
      </c>
      <c r="G18" s="1">
        <f>B18^2-C18^2-D18^2</f>
        <v>0.97750000000000004</v>
      </c>
      <c r="N18" s="1">
        <v>0.78</v>
      </c>
    </row>
    <row r="19" spans="1:14" x14ac:dyDescent="0.25">
      <c r="A19" s="1" t="s">
        <v>16</v>
      </c>
      <c r="B19" s="1">
        <v>0.95</v>
      </c>
      <c r="C19" s="1">
        <v>0.35</v>
      </c>
      <c r="D19" s="1">
        <v>0.15</v>
      </c>
      <c r="F19" s="1">
        <f t="shared" ref="F19:F28" si="1">B19^2+C19^2+D19^2</f>
        <v>1.0474999999999999</v>
      </c>
      <c r="G19" s="1">
        <f t="shared" ref="G19:G28" si="2">B19^2-C19^2-D19^2</f>
        <v>0.75750000000000006</v>
      </c>
      <c r="N19" s="1">
        <v>0.64</v>
      </c>
    </row>
    <row r="20" spans="1:14" x14ac:dyDescent="0.25">
      <c r="A20" s="1" t="s">
        <v>17</v>
      </c>
      <c r="B20" s="1">
        <v>0.9</v>
      </c>
      <c r="C20" s="1">
        <v>0.42</v>
      </c>
      <c r="D20" s="1">
        <v>0.25</v>
      </c>
      <c r="F20" s="1">
        <f t="shared" si="1"/>
        <v>1.0489000000000002</v>
      </c>
      <c r="G20" s="1">
        <f t="shared" si="2"/>
        <v>0.57110000000000005</v>
      </c>
      <c r="N20" s="1">
        <v>0.5</v>
      </c>
    </row>
    <row r="21" spans="1:14" x14ac:dyDescent="0.25">
      <c r="A21" s="1" t="s">
        <v>2</v>
      </c>
      <c r="B21" s="1">
        <v>0.8</v>
      </c>
      <c r="C21" s="1">
        <v>0.55000000000000004</v>
      </c>
      <c r="D21" s="1">
        <v>0.35</v>
      </c>
      <c r="F21" s="1">
        <f t="shared" si="1"/>
        <v>1.0650000000000002</v>
      </c>
      <c r="G21" s="1">
        <f t="shared" si="2"/>
        <v>0.21500000000000008</v>
      </c>
      <c r="N21" s="1">
        <v>0.36</v>
      </c>
    </row>
    <row r="22" spans="1:14" x14ac:dyDescent="0.25">
      <c r="A22" s="1" t="s">
        <v>18</v>
      </c>
      <c r="B22" s="1">
        <v>0.7</v>
      </c>
      <c r="C22" s="1">
        <v>0.74</v>
      </c>
      <c r="D22" s="1">
        <v>0.4</v>
      </c>
      <c r="F22" s="1">
        <f t="shared" si="1"/>
        <v>1.1976</v>
      </c>
      <c r="G22" s="1">
        <f t="shared" si="2"/>
        <v>-0.21760000000000007</v>
      </c>
      <c r="N22" s="1">
        <v>0.22</v>
      </c>
    </row>
    <row r="23" spans="1:14" x14ac:dyDescent="0.25">
      <c r="A23" s="1" t="s">
        <v>7</v>
      </c>
      <c r="B23" s="1">
        <v>0.55000000000000004</v>
      </c>
      <c r="C23" s="1">
        <v>0.85</v>
      </c>
      <c r="D23" s="1">
        <v>0.45</v>
      </c>
      <c r="F23" s="1">
        <f t="shared" si="1"/>
        <v>1.2275</v>
      </c>
      <c r="G23" s="1">
        <f t="shared" si="2"/>
        <v>-0.62249999999999983</v>
      </c>
      <c r="N23" s="1">
        <v>0.08</v>
      </c>
    </row>
    <row r="24" spans="1:14" x14ac:dyDescent="0.25">
      <c r="A24" s="1" t="s">
        <v>19</v>
      </c>
      <c r="B24" s="1">
        <v>0.45</v>
      </c>
      <c r="C24" s="1">
        <v>0.9</v>
      </c>
      <c r="D24" s="1">
        <v>0.55000000000000004</v>
      </c>
      <c r="F24" s="1">
        <f t="shared" si="1"/>
        <v>1.3150000000000002</v>
      </c>
      <c r="G24" s="1">
        <f t="shared" si="2"/>
        <v>-0.91000000000000014</v>
      </c>
    </row>
    <row r="25" spans="1:14" x14ac:dyDescent="0.25">
      <c r="A25" s="1" t="s">
        <v>20</v>
      </c>
      <c r="B25" s="1">
        <v>0.4</v>
      </c>
      <c r="C25" s="1">
        <v>0.55000000000000004</v>
      </c>
      <c r="D25" s="1">
        <v>0.7</v>
      </c>
      <c r="F25" s="1">
        <f t="shared" si="1"/>
        <v>0.95250000000000001</v>
      </c>
      <c r="G25" s="1">
        <f t="shared" si="2"/>
        <v>-0.63249999999999995</v>
      </c>
    </row>
    <row r="26" spans="1:14" x14ac:dyDescent="0.25">
      <c r="A26" s="1" t="s">
        <v>21</v>
      </c>
      <c r="B26" s="1">
        <v>0.35</v>
      </c>
      <c r="C26" s="1">
        <v>0.65</v>
      </c>
      <c r="D26" s="1">
        <v>0.8</v>
      </c>
      <c r="F26" s="1">
        <f t="shared" si="1"/>
        <v>1.1850000000000001</v>
      </c>
      <c r="G26" s="1">
        <f t="shared" si="2"/>
        <v>-0.94000000000000017</v>
      </c>
    </row>
    <row r="27" spans="1:14" x14ac:dyDescent="0.25">
      <c r="A27" s="1" t="s">
        <v>22</v>
      </c>
      <c r="B27" s="1">
        <v>0.25</v>
      </c>
      <c r="C27" s="1">
        <v>0.45</v>
      </c>
      <c r="D27" s="1">
        <v>0.9</v>
      </c>
      <c r="F27" s="1">
        <f t="shared" si="1"/>
        <v>1.0750000000000002</v>
      </c>
      <c r="G27" s="1">
        <f t="shared" si="2"/>
        <v>-0.95000000000000007</v>
      </c>
    </row>
    <row r="28" spans="1:14" x14ac:dyDescent="0.25">
      <c r="A28" s="1" t="s">
        <v>23</v>
      </c>
      <c r="B28" s="1">
        <v>0.15</v>
      </c>
      <c r="C28" s="1">
        <v>0.35</v>
      </c>
      <c r="D28" s="1">
        <v>0.95</v>
      </c>
      <c r="F28" s="1">
        <f t="shared" si="1"/>
        <v>1.0474999999999999</v>
      </c>
      <c r="G28" s="1">
        <f t="shared" si="2"/>
        <v>-1.0024999999999999</v>
      </c>
    </row>
  </sheetData>
  <mergeCells count="4">
    <mergeCell ref="B3:D3"/>
    <mergeCell ref="A2:D2"/>
    <mergeCell ref="A15:D15"/>
    <mergeCell ref="B16:D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"/>
  <sheetViews>
    <sheetView workbookViewId="0">
      <selection activeCell="K20" sqref="K20"/>
    </sheetView>
  </sheetViews>
  <sheetFormatPr defaultRowHeight="15" x14ac:dyDescent="0.25"/>
  <cols>
    <col min="2" max="4" width="5.42578125" customWidth="1"/>
    <col min="11" max="11" width="9.140625" customWidth="1"/>
  </cols>
  <sheetData>
    <row r="1" spans="1:17" ht="15" customHeight="1" x14ac:dyDescent="0.25">
      <c r="A1" s="5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7" x14ac:dyDescent="0.25">
      <c r="A2" s="5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7" x14ac:dyDescent="0.25">
      <c r="A3" s="5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7" x14ac:dyDescent="0.25">
      <c r="A4" s="5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7" x14ac:dyDescent="0.25">
      <c r="A5" s="5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t="s">
        <v>30</v>
      </c>
    </row>
    <row r="6" spans="1:17" x14ac:dyDescent="0.25">
      <c r="A6" s="5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7" x14ac:dyDescent="0.25">
      <c r="A7" s="5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7" x14ac:dyDescent="0.25">
      <c r="A8" s="87" t="s">
        <v>41</v>
      </c>
      <c r="B8" s="10">
        <v>0.64</v>
      </c>
      <c r="C8" s="10">
        <v>0.42</v>
      </c>
      <c r="D8" s="10">
        <v>0.37</v>
      </c>
      <c r="E8" s="10"/>
      <c r="F8" s="10">
        <f>(B8+D8*(B8/(B8+C8)))/((B8+D8*(B8/(B8+C8)))+(B8+D8*(B8/(B8+C8)))+(B8+D8*(B8/(B8+C8)))+(B8+D8*(B8/(B8+C8))))</f>
        <v>0.25</v>
      </c>
      <c r="G8" s="10">
        <f>(B8+D8*(B8/(B8+C8)))</f>
        <v>0.86339622641509428</v>
      </c>
      <c r="H8" s="10">
        <f>G8*4</f>
        <v>3.4535849056603771</v>
      </c>
      <c r="I8" s="10">
        <f>G8/H8</f>
        <v>0.25</v>
      </c>
      <c r="J8" s="10"/>
      <c r="K8" s="10">
        <f>(B8+D8*(B8/(B8+C8)))/((B8+D8*(B8/(B8+C8)))+(B9+D9*(B9/(B9+C9)))+(B10+D10*(B10/(B10+C10)))+(B11+D11*(B11/(B11+C11))))</f>
        <v>0.24296033820178886</v>
      </c>
      <c r="L8" s="10"/>
      <c r="M8" s="10">
        <f>ROUND(K8,4)</f>
        <v>0.24299999999999999</v>
      </c>
    </row>
    <row r="9" spans="1:17" x14ac:dyDescent="0.25">
      <c r="A9" s="87"/>
      <c r="B9" s="10">
        <v>0.92</v>
      </c>
      <c r="C9" s="10">
        <v>0.25</v>
      </c>
      <c r="D9" s="10">
        <v>0.11</v>
      </c>
      <c r="E9" s="10"/>
      <c r="F9" s="10">
        <f t="shared" ref="F9:F11" si="0">(B9+D9*(B9/(B9+C9)))/((B9+D9*(B9/(B9+C9)))+(B9+D9*(B9/(B9+C9)))+(B9+D9*(B9/(B9+C9)))+(B9+D9*(B9/(B9+C9))))</f>
        <v>0.25</v>
      </c>
      <c r="G9" s="10">
        <f t="shared" ref="G9:G11" si="1">(B9+D9*(B9/(B9+C9)))</f>
        <v>1.0064957264957266</v>
      </c>
      <c r="H9" s="10">
        <f t="shared" ref="H9:H11" si="2">G9*4</f>
        <v>4.0259829059829064</v>
      </c>
      <c r="I9" s="10">
        <f t="shared" ref="I9:I11" si="3">G9/H9</f>
        <v>0.25</v>
      </c>
      <c r="J9" s="10"/>
      <c r="K9" s="10">
        <f>(B9+D9*(B9/(B9+C9)))/((B8+D8*(B8/(B8+C8)))+(B9+D9*(B9/(B9+C9)))+(B10+D10*(B10/(B10+C10)))+(B11+D11*(B11/(B11+C11))))</f>
        <v>0.28322864361291561</v>
      </c>
      <c r="L9" s="10"/>
      <c r="M9" s="10">
        <f t="shared" ref="M9:M12" si="4">ROUND(K9,4)</f>
        <v>0.28320000000000001</v>
      </c>
    </row>
    <row r="10" spans="1:17" x14ac:dyDescent="0.25">
      <c r="A10" s="87"/>
      <c r="B10" s="10">
        <v>0.78</v>
      </c>
      <c r="C10" s="10">
        <v>0.35</v>
      </c>
      <c r="D10" s="10">
        <v>0.24</v>
      </c>
      <c r="E10" s="10"/>
      <c r="F10" s="10">
        <f t="shared" si="0"/>
        <v>0.25</v>
      </c>
      <c r="G10" s="10">
        <f t="shared" si="1"/>
        <v>0.94566371681415928</v>
      </c>
      <c r="H10" s="10">
        <f t="shared" si="2"/>
        <v>3.7826548672566371</v>
      </c>
      <c r="I10" s="10">
        <f t="shared" si="3"/>
        <v>0.25</v>
      </c>
      <c r="J10" s="10"/>
      <c r="K10" s="10">
        <f>(B10+D10*(B10/(B10+C10)))/((B8+D8*(B8/(B8+C8)))+(B9+D9*(B9/(B9+C9)))+(B10+D10*(B10/(B10+C10)))+(B11+D11*(B11/(B11+C11))))</f>
        <v>0.2661104709900225</v>
      </c>
      <c r="L10" s="10"/>
      <c r="M10" s="10">
        <f t="shared" si="4"/>
        <v>0.2661</v>
      </c>
    </row>
    <row r="11" spans="1:17" x14ac:dyDescent="0.25">
      <c r="A11" s="87"/>
      <c r="B11" s="10">
        <v>0.5</v>
      </c>
      <c r="C11" s="10">
        <v>0.55000000000000004</v>
      </c>
      <c r="D11" s="10">
        <v>0.5</v>
      </c>
      <c r="E11" s="10"/>
      <c r="F11" s="10">
        <f t="shared" si="0"/>
        <v>0.25</v>
      </c>
      <c r="G11" s="10">
        <f t="shared" si="1"/>
        <v>0.73809523809523814</v>
      </c>
      <c r="H11" s="10">
        <f t="shared" si="2"/>
        <v>2.9523809523809526</v>
      </c>
      <c r="I11" s="10">
        <f t="shared" si="3"/>
        <v>0.25</v>
      </c>
      <c r="J11" s="10"/>
      <c r="K11" s="10">
        <f>(B11+D11*(B11/(B11+C11)))/((B8+D8*(B8/(B8+C8)))+(B9+D9*(B9/(B9+C9)))+(B10+D10*(B10/(B10+C10)))+(B11+D11*(B11/(B11+C11))))</f>
        <v>0.20770054719527303</v>
      </c>
      <c r="L11" s="10"/>
      <c r="M11" s="10">
        <f t="shared" si="4"/>
        <v>0.2077</v>
      </c>
    </row>
    <row r="12" spans="1:17" x14ac:dyDescent="0.25">
      <c r="A12" s="50"/>
      <c r="B12" s="10"/>
      <c r="C12" s="10"/>
      <c r="D12" s="10"/>
      <c r="E12" s="10"/>
      <c r="F12" s="10"/>
      <c r="G12" s="10"/>
      <c r="H12" s="10"/>
      <c r="I12" s="10"/>
      <c r="J12" s="10"/>
      <c r="K12" s="10">
        <f>SUM(K8:K11)</f>
        <v>1</v>
      </c>
      <c r="L12" s="10"/>
      <c r="M12" s="10">
        <f t="shared" si="4"/>
        <v>1</v>
      </c>
    </row>
    <row r="13" spans="1:17" x14ac:dyDescent="0.25">
      <c r="Q13">
        <v>0.24299999999999999</v>
      </c>
    </row>
    <row r="14" spans="1:17" x14ac:dyDescent="0.25">
      <c r="Q14">
        <v>0.28320000000000001</v>
      </c>
    </row>
    <row r="15" spans="1:17" x14ac:dyDescent="0.25">
      <c r="Q15">
        <v>0.2661</v>
      </c>
    </row>
    <row r="16" spans="1:17" x14ac:dyDescent="0.25">
      <c r="Q16">
        <v>0.2077</v>
      </c>
    </row>
    <row r="20" spans="1:11" x14ac:dyDescent="0.25">
      <c r="A20" s="86" t="s">
        <v>42</v>
      </c>
      <c r="B20">
        <v>0.85</v>
      </c>
      <c r="C20">
        <v>0.2</v>
      </c>
      <c r="D20">
        <v>0.49</v>
      </c>
      <c r="F20">
        <f>(B20+D20*(B20/(B20+C20)))/((B20+D20*(B20/(B20+C20)))+(B20+D20*(B20/(B20+C20)))+(B20+D20*(B20/(B20+C20)))+(B20+D20*(B20/(B20+C20))))</f>
        <v>0.25</v>
      </c>
      <c r="G20">
        <f>(B20+D20*(B20/(B20+C20)))</f>
        <v>1.2466666666666666</v>
      </c>
      <c r="H20">
        <f>G20*4</f>
        <v>4.9866666666666664</v>
      </c>
      <c r="I20">
        <f>G20/H20</f>
        <v>0.25</v>
      </c>
      <c r="K20">
        <f>(B20+D20*(B20/(B20+C20)))/((B20+D20*(B20/(B20+C20)))+(B21+D21*(B21/(B21+C21)))+(B22+D22*(B22/(B22+C22)))+(B23+D23*(B23/(B23+C23))))</f>
        <v>0.27169597920272581</v>
      </c>
    </row>
    <row r="21" spans="1:11" x14ac:dyDescent="0.25">
      <c r="A21" s="86"/>
      <c r="B21">
        <v>0.6</v>
      </c>
      <c r="C21">
        <v>0.55000000000000004</v>
      </c>
      <c r="D21">
        <v>0.57999999999999996</v>
      </c>
      <c r="F21">
        <f t="shared" ref="F21:F23" si="5">(B21+D21*(B21/(B21+C21)))/((B21+D21*(B21/(B21+C21)))+(B21+D21*(B21/(B21+C21)))+(B21+D21*(B21/(B21+C21)))+(B21+D21*(B21/(B21+C21))))</f>
        <v>0.25</v>
      </c>
      <c r="G21">
        <f t="shared" ref="G21:G23" si="6">(B21+D21*(B21/(B21+C21)))</f>
        <v>0.90260869565217394</v>
      </c>
      <c r="H21">
        <f t="shared" ref="H21:H23" si="7">G21*4</f>
        <v>3.6104347826086958</v>
      </c>
      <c r="I21">
        <f t="shared" ref="I21:I23" si="8">G21/H21</f>
        <v>0.25</v>
      </c>
      <c r="K21">
        <f>(B21+D21*(B21/(B21+C21)))/((B20+D20*(B20/(B20+C20)))+(B21+D21*(B21/(B21+C21)))+(B22+D22*(B22/(B22+C22)))+(B23+D23*(B23/(B23+C23))))</f>
        <v>0.19671268989474266</v>
      </c>
    </row>
    <row r="22" spans="1:11" x14ac:dyDescent="0.25">
      <c r="A22" s="86"/>
      <c r="B22">
        <v>0.75</v>
      </c>
      <c r="C22">
        <v>0.35</v>
      </c>
      <c r="D22">
        <v>0.56000000000000005</v>
      </c>
      <c r="F22">
        <f t="shared" si="5"/>
        <v>0.25</v>
      </c>
      <c r="G22">
        <f t="shared" si="6"/>
        <v>1.1318181818181818</v>
      </c>
      <c r="H22">
        <f t="shared" si="7"/>
        <v>4.5272727272727273</v>
      </c>
      <c r="I22">
        <f t="shared" si="8"/>
        <v>0.25</v>
      </c>
      <c r="K22">
        <f>(B22+D22*(B22/(B22+C22)))/((B20+D20*(B20/(B20+C20)))+(B21+D21*(B21/(B21+C21)))+(B22+D22*(B22/(B22+C22)))+(B23+D23*(B23/(B23+C23))))</f>
        <v>0.24666613571273235</v>
      </c>
    </row>
    <row r="23" spans="1:11" x14ac:dyDescent="0.25">
      <c r="A23" s="86"/>
      <c r="B23">
        <v>0.9</v>
      </c>
      <c r="C23">
        <v>0.05</v>
      </c>
      <c r="D23">
        <v>0.43</v>
      </c>
      <c r="F23">
        <f t="shared" si="5"/>
        <v>0.25</v>
      </c>
      <c r="G23">
        <f t="shared" si="6"/>
        <v>1.3073684210526315</v>
      </c>
      <c r="H23">
        <f t="shared" si="7"/>
        <v>5.2294736842105261</v>
      </c>
      <c r="I23">
        <f t="shared" si="8"/>
        <v>0.25</v>
      </c>
      <c r="K23">
        <f>(B23+D23*(B23/(B23+C23)))/((B20+D20*(B20/(B20+C20)))+(B21+D21*(B21/(B21+C21)))+(B22+D22*(B22/(B22+C22)))+(B23+D23*(B23/(B23+C23))))</f>
        <v>0.28492519518979914</v>
      </c>
    </row>
    <row r="24" spans="1:11" x14ac:dyDescent="0.25">
      <c r="K24">
        <f>SUM(K20:K23)</f>
        <v>1</v>
      </c>
    </row>
  </sheetData>
  <mergeCells count="2">
    <mergeCell ref="A20:A23"/>
    <mergeCell ref="A8:A1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2049" r:id="rId3">
          <objectPr defaultSize="0" autoPict="0" r:id="rId4">
            <anchor moveWithCells="1">
              <from>
                <xdr:col>3</xdr:col>
                <xdr:colOff>190500</xdr:colOff>
                <xdr:row>0</xdr:row>
                <xdr:rowOff>57150</xdr:rowOff>
              </from>
              <to>
                <xdr:col>10</xdr:col>
                <xdr:colOff>504825</xdr:colOff>
                <xdr:row>6</xdr:row>
                <xdr:rowOff>95250</xdr:rowOff>
              </to>
            </anchor>
          </objectPr>
        </oleObject>
      </mc:Choice>
      <mc:Fallback>
        <oleObject progId="Equation.DSMT4" shapeId="20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sqref="A1:F8"/>
    </sheetView>
  </sheetViews>
  <sheetFormatPr defaultRowHeight="15" x14ac:dyDescent="0.25"/>
  <cols>
    <col min="2" max="5" width="5" customWidth="1"/>
    <col min="6" max="6" width="61.42578125" customWidth="1"/>
  </cols>
  <sheetData>
    <row r="1" spans="1:6" x14ac:dyDescent="0.25">
      <c r="A1" s="88"/>
      <c r="B1" s="88"/>
      <c r="C1" s="88"/>
      <c r="D1" s="88"/>
      <c r="E1" s="88"/>
      <c r="F1" s="88"/>
    </row>
    <row r="2" spans="1:6" x14ac:dyDescent="0.25">
      <c r="A2" s="88"/>
      <c r="B2" s="9" t="s">
        <v>37</v>
      </c>
      <c r="C2" s="9" t="s">
        <v>38</v>
      </c>
      <c r="D2" s="9" t="s">
        <v>39</v>
      </c>
      <c r="E2" s="9" t="s">
        <v>40</v>
      </c>
      <c r="F2" s="88"/>
    </row>
    <row r="3" spans="1:6" x14ac:dyDescent="0.25">
      <c r="A3" s="9" t="s">
        <v>31</v>
      </c>
      <c r="B3" s="9"/>
      <c r="C3" s="9"/>
      <c r="D3" s="9"/>
      <c r="E3" s="9"/>
      <c r="F3" s="9"/>
    </row>
    <row r="4" spans="1:6" x14ac:dyDescent="0.25">
      <c r="A4" s="9" t="s">
        <v>32</v>
      </c>
      <c r="B4" s="9"/>
      <c r="C4" s="9"/>
      <c r="D4" s="9"/>
      <c r="E4" s="9"/>
      <c r="F4" s="9"/>
    </row>
    <row r="5" spans="1:6" x14ac:dyDescent="0.25">
      <c r="A5" s="9" t="s">
        <v>33</v>
      </c>
      <c r="B5" s="9"/>
      <c r="C5" s="9"/>
      <c r="D5" s="9"/>
      <c r="E5" s="9"/>
      <c r="F5" s="9"/>
    </row>
    <row r="6" spans="1:6" x14ac:dyDescent="0.25">
      <c r="A6" s="9" t="s">
        <v>34</v>
      </c>
      <c r="B6" s="9"/>
      <c r="C6" s="9"/>
      <c r="D6" s="9"/>
      <c r="E6" s="9"/>
      <c r="F6" s="9"/>
    </row>
    <row r="7" spans="1:6" x14ac:dyDescent="0.25">
      <c r="A7" s="9" t="s">
        <v>35</v>
      </c>
      <c r="B7" s="9"/>
      <c r="C7" s="9"/>
      <c r="D7" s="9"/>
      <c r="E7" s="9"/>
      <c r="F7" s="9"/>
    </row>
    <row r="8" spans="1:6" x14ac:dyDescent="0.25">
      <c r="A8" s="9" t="s">
        <v>36</v>
      </c>
      <c r="B8" s="9"/>
      <c r="C8" s="9"/>
      <c r="D8" s="9"/>
      <c r="E8" s="9"/>
      <c r="F8" s="9"/>
    </row>
  </sheetData>
  <mergeCells count="3">
    <mergeCell ref="B1:E1"/>
    <mergeCell ref="A1:A2"/>
    <mergeCell ref="F1:F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31"/>
  <sheetViews>
    <sheetView zoomScale="80" zoomScaleNormal="80" workbookViewId="0">
      <selection activeCell="E10" sqref="E10"/>
    </sheetView>
  </sheetViews>
  <sheetFormatPr defaultRowHeight="15" x14ac:dyDescent="0.25"/>
  <cols>
    <col min="1" max="1" width="11.7109375" bestFit="1" customWidth="1"/>
    <col min="2" max="2" width="7" bestFit="1" customWidth="1"/>
    <col min="6" max="6" width="9.85546875" customWidth="1"/>
  </cols>
  <sheetData>
    <row r="2" spans="1:29" x14ac:dyDescent="0.25">
      <c r="A2" s="89" t="s">
        <v>65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4" spans="1:29" ht="15.75" thickBot="1" x14ac:dyDescent="0.3"/>
    <row r="5" spans="1:29" x14ac:dyDescent="0.25">
      <c r="A5" s="94" t="s">
        <v>43</v>
      </c>
      <c r="B5" s="92"/>
      <c r="C5" s="92" t="s">
        <v>45</v>
      </c>
      <c r="D5" s="92"/>
      <c r="E5" s="92"/>
      <c r="F5" s="18"/>
      <c r="G5" s="92" t="s">
        <v>43</v>
      </c>
      <c r="H5" s="92"/>
      <c r="I5" s="92" t="s">
        <v>46</v>
      </c>
      <c r="J5" s="92"/>
      <c r="K5" s="92"/>
      <c r="L5" s="18"/>
      <c r="M5" s="92" t="s">
        <v>43</v>
      </c>
      <c r="N5" s="92"/>
      <c r="O5" s="92" t="s">
        <v>47</v>
      </c>
      <c r="P5" s="92"/>
      <c r="Q5" s="92"/>
      <c r="R5" s="18"/>
      <c r="S5" s="92" t="s">
        <v>43</v>
      </c>
      <c r="T5" s="92"/>
      <c r="U5" s="92" t="s">
        <v>48</v>
      </c>
      <c r="V5" s="92"/>
      <c r="W5" s="92"/>
      <c r="X5" s="18"/>
      <c r="Y5" s="92" t="s">
        <v>43</v>
      </c>
      <c r="Z5" s="92"/>
      <c r="AA5" s="92" t="s">
        <v>49</v>
      </c>
      <c r="AB5" s="92"/>
      <c r="AC5" s="93"/>
    </row>
    <row r="6" spans="1:29" x14ac:dyDescent="0.25">
      <c r="A6" s="13" t="s">
        <v>25</v>
      </c>
      <c r="B6">
        <v>0.2717</v>
      </c>
      <c r="C6">
        <v>0.85</v>
      </c>
      <c r="D6">
        <v>0.3</v>
      </c>
      <c r="E6">
        <v>0.43</v>
      </c>
      <c r="F6" s="19"/>
      <c r="G6" t="s">
        <v>25</v>
      </c>
      <c r="H6">
        <v>0.2717</v>
      </c>
      <c r="I6">
        <v>0.9</v>
      </c>
      <c r="J6">
        <v>0.2</v>
      </c>
      <c r="K6">
        <v>0.39</v>
      </c>
      <c r="L6" s="19"/>
      <c r="M6" t="s">
        <v>25</v>
      </c>
      <c r="N6">
        <v>0.2717</v>
      </c>
      <c r="O6">
        <v>0.9</v>
      </c>
      <c r="P6">
        <v>0.2</v>
      </c>
      <c r="Q6">
        <v>0.39</v>
      </c>
      <c r="R6" s="19"/>
      <c r="S6" t="s">
        <v>25</v>
      </c>
      <c r="T6">
        <v>0.2717</v>
      </c>
      <c r="U6">
        <v>0.85</v>
      </c>
      <c r="V6">
        <v>0.3</v>
      </c>
      <c r="W6">
        <v>0.43</v>
      </c>
      <c r="X6" s="19"/>
      <c r="Y6" t="s">
        <v>25</v>
      </c>
      <c r="Z6">
        <v>0.2717</v>
      </c>
      <c r="AA6">
        <v>0.85</v>
      </c>
      <c r="AB6">
        <v>0.3</v>
      </c>
      <c r="AC6" s="14">
        <v>0.43</v>
      </c>
    </row>
    <row r="7" spans="1:29" x14ac:dyDescent="0.25">
      <c r="A7" s="13" t="s">
        <v>26</v>
      </c>
      <c r="B7">
        <v>0.19670000000000001</v>
      </c>
      <c r="C7">
        <v>0.75</v>
      </c>
      <c r="D7">
        <v>0.4</v>
      </c>
      <c r="E7">
        <v>0.53</v>
      </c>
      <c r="F7" s="19"/>
      <c r="G7" t="s">
        <v>26</v>
      </c>
      <c r="H7">
        <v>0.19670000000000001</v>
      </c>
      <c r="I7">
        <v>0.75</v>
      </c>
      <c r="J7">
        <v>0.4</v>
      </c>
      <c r="K7">
        <v>0.53</v>
      </c>
      <c r="L7" s="19"/>
      <c r="M7" t="s">
        <v>26</v>
      </c>
      <c r="N7">
        <v>0.19670000000000001</v>
      </c>
      <c r="O7">
        <v>0.75</v>
      </c>
      <c r="P7">
        <v>0.4</v>
      </c>
      <c r="Q7">
        <v>0.53</v>
      </c>
      <c r="R7" s="19"/>
      <c r="S7" t="s">
        <v>26</v>
      </c>
      <c r="T7">
        <v>0.19670000000000001</v>
      </c>
      <c r="U7">
        <v>0.75</v>
      </c>
      <c r="V7">
        <v>0.4</v>
      </c>
      <c r="W7">
        <v>0.53</v>
      </c>
      <c r="X7" s="19"/>
      <c r="Y7" t="s">
        <v>26</v>
      </c>
      <c r="Z7">
        <v>0.19670000000000001</v>
      </c>
      <c r="AA7">
        <v>0.75</v>
      </c>
      <c r="AB7">
        <v>0.4</v>
      </c>
      <c r="AC7" s="14">
        <v>0.53</v>
      </c>
    </row>
    <row r="8" spans="1:29" x14ac:dyDescent="0.25">
      <c r="A8" s="13" t="s">
        <v>27</v>
      </c>
      <c r="B8">
        <v>0.2467</v>
      </c>
      <c r="C8">
        <v>0.7</v>
      </c>
      <c r="D8">
        <v>0.45</v>
      </c>
      <c r="E8">
        <v>0.55000000000000004</v>
      </c>
      <c r="F8" s="19"/>
      <c r="G8" t="s">
        <v>27</v>
      </c>
      <c r="H8">
        <v>0.2467</v>
      </c>
      <c r="I8">
        <v>0.85</v>
      </c>
      <c r="J8">
        <v>0.3</v>
      </c>
      <c r="K8">
        <v>0.43</v>
      </c>
      <c r="L8" s="19"/>
      <c r="M8" t="s">
        <v>27</v>
      </c>
      <c r="N8">
        <v>0.2467</v>
      </c>
      <c r="O8">
        <v>0.85</v>
      </c>
      <c r="P8">
        <v>0.3</v>
      </c>
      <c r="Q8">
        <v>0.43</v>
      </c>
      <c r="R8" s="19"/>
      <c r="S8" t="s">
        <v>27</v>
      </c>
      <c r="T8">
        <v>0.2467</v>
      </c>
      <c r="U8">
        <v>0.7</v>
      </c>
      <c r="V8">
        <v>0.45</v>
      </c>
      <c r="W8">
        <v>0.55000000000000004</v>
      </c>
      <c r="X8" s="19"/>
      <c r="Y8" t="s">
        <v>27</v>
      </c>
      <c r="Z8">
        <v>0.2467</v>
      </c>
      <c r="AA8">
        <v>0.7</v>
      </c>
      <c r="AB8">
        <v>0.45</v>
      </c>
      <c r="AC8" s="14">
        <v>0.55000000000000004</v>
      </c>
    </row>
    <row r="9" spans="1:29" x14ac:dyDescent="0.25">
      <c r="A9" s="13" t="s">
        <v>28</v>
      </c>
      <c r="B9">
        <v>0.28489999999999999</v>
      </c>
      <c r="C9">
        <v>0.85</v>
      </c>
      <c r="D9">
        <v>0.3</v>
      </c>
      <c r="E9">
        <v>0.43</v>
      </c>
      <c r="F9" s="19"/>
      <c r="G9" t="s">
        <v>28</v>
      </c>
      <c r="H9">
        <v>0.28489999999999999</v>
      </c>
      <c r="I9">
        <v>0.9</v>
      </c>
      <c r="J9">
        <v>0.2</v>
      </c>
      <c r="K9">
        <v>0.39</v>
      </c>
      <c r="L9" s="19"/>
      <c r="M9" t="s">
        <v>28</v>
      </c>
      <c r="N9">
        <v>0.28489999999999999</v>
      </c>
      <c r="O9">
        <v>0.85</v>
      </c>
      <c r="P9">
        <v>0.3</v>
      </c>
      <c r="Q9">
        <v>0.43</v>
      </c>
      <c r="R9" s="19"/>
      <c r="S9" t="s">
        <v>28</v>
      </c>
      <c r="T9">
        <v>0.28489999999999999</v>
      </c>
      <c r="U9">
        <v>0.85</v>
      </c>
      <c r="V9">
        <v>0.3</v>
      </c>
      <c r="W9">
        <v>0.43</v>
      </c>
      <c r="X9" s="19"/>
      <c r="Y9" t="s">
        <v>28</v>
      </c>
      <c r="Z9">
        <v>0.28489999999999999</v>
      </c>
      <c r="AA9">
        <v>0.85</v>
      </c>
      <c r="AB9">
        <v>0.3</v>
      </c>
      <c r="AC9" s="14">
        <v>0.43</v>
      </c>
    </row>
    <row r="10" spans="1:29" x14ac:dyDescent="0.25">
      <c r="A10" s="13" t="s">
        <v>44</v>
      </c>
      <c r="C10">
        <f>SQRT(1-(((1-(C6)^2)^B6)*((1-(C7)^2)^B7)*((1-(C8)^2)^B8)*((1-(C9)^2)^B9)))</f>
        <v>0.80457345177478579</v>
      </c>
      <c r="D10">
        <f>((D6^B6)*(D7^B7)*(D8^B8)*(D9^B9))</f>
        <v>0.35086368298857923</v>
      </c>
      <c r="E10">
        <f>SQRT((((1-(C6)^2)^B6)*((1-(C7)^2)^B7)*((1-(C8)^2)^B8)*((1-(C9)^2)^B9))-((D6^B6)*(D7^B7)*(D8^B8)*(D9^B9))^2)</f>
        <v>0.47912027368803367</v>
      </c>
      <c r="F10" s="19"/>
      <c r="G10" t="s">
        <v>44</v>
      </c>
      <c r="I10">
        <f>SQRT(1-(((1-(I6)^2)^H6)*((1-(I7)^2)^H7)*((1-(I8)^2)^H8)*((1-(I9)^2)^H9)))</f>
        <v>0.86844501959304987</v>
      </c>
      <c r="J10">
        <f>((J6^H6)*(J7^H7)*(J8^H8)*(J9^H9))</f>
        <v>0.25332865038890606</v>
      </c>
      <c r="K10">
        <f>SQRT((((1-(I6)^2)^H6)*((1-(I7)^2)^H7)*((1-(I8)^2)^H8)*((1-(I9)^2)^H9))-((J6^H6)*(J7^H7)*(J8^H8)*(J9^H9))^2)</f>
        <v>0.42617818202738006</v>
      </c>
      <c r="L10" s="19"/>
      <c r="M10" t="s">
        <v>44</v>
      </c>
      <c r="O10">
        <f>SQRT(1-(((1-(O6)^2)^N6)*((1-(O7)^2)^N7)*((1-(O8)^2)^N8)*((1-(O9)^2)^N9)))</f>
        <v>0.85216522099897918</v>
      </c>
      <c r="P10">
        <f>((P6^N6)*(P7^N7)*(P8^N8)*(P9^N9))</f>
        <v>0.2843496572679392</v>
      </c>
      <c r="Q10">
        <f>SQRT((((1-(O6)^2)^N6)*((1-(O7)^2)^N7)*((1-(O8)^2)^N8)*((1-(O9)^2)^N9))-((P6^N6)*(P7^N7)*(P8^N8)*(P9^N9))^2)</f>
        <v>0.4392717934620507</v>
      </c>
      <c r="R10" s="19"/>
      <c r="S10" t="s">
        <v>44</v>
      </c>
      <c r="U10">
        <f>SQRT(1-(((1-(U6)^2)^T6)*((1-(U7)^2)^T7)*((1-(U8)^2)^T8)*((1-(U9)^2)^T9)))</f>
        <v>0.80457345177478579</v>
      </c>
      <c r="V10">
        <f>((V6^T6)*(V7^T7)*(V8^T8)*(V9^T9))</f>
        <v>0.35086368298857923</v>
      </c>
      <c r="W10">
        <f>SQRT((((1-(U6)^2)^T6)*((1-(U7)^2)^T7)*((1-(U8)^2)^T8)*((1-(U9)^2)^T9))-((V6^T6)*(V7^T7)*(V8^T8)*(V9^T9))^2)</f>
        <v>0.47912027368803367</v>
      </c>
      <c r="X10" s="19"/>
      <c r="Y10" t="s">
        <v>44</v>
      </c>
      <c r="AA10">
        <f>SQRT(1-(((1-(AA6)^2)^Z6)*((1-(AA7)^2)^Z7)*((1-(AA8)^2)^Z8)*((1-(AA9)^2)^Z9)))</f>
        <v>0.80457345177478579</v>
      </c>
      <c r="AB10">
        <f>((AB6^Z6)*(AB7^Z7)*(AB8^Z8)*(AB9^Z9))</f>
        <v>0.35086368298857923</v>
      </c>
      <c r="AC10" s="14">
        <f>SQRT((((1-(AA6)^2)^Z6)*((1-(AA7)^2)^Z7)*((1-(AA8)^2)^Z8)*((1-(AA9)^2)^Z9))-((AB6^Z6)*(AB7^Z7)*(AB8^Z8)*(AB9^Z9))^2)</f>
        <v>0.47912027368803367</v>
      </c>
    </row>
    <row r="11" spans="1:29" x14ac:dyDescent="0.25">
      <c r="A11" s="21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2"/>
    </row>
    <row r="12" spans="1:29" x14ac:dyDescent="0.25">
      <c r="A12" s="91" t="s">
        <v>43</v>
      </c>
      <c r="B12" s="89"/>
      <c r="C12" s="89" t="s">
        <v>50</v>
      </c>
      <c r="D12" s="89"/>
      <c r="E12" s="89"/>
      <c r="F12" s="19"/>
      <c r="G12" s="89" t="s">
        <v>43</v>
      </c>
      <c r="H12" s="89"/>
      <c r="I12" s="89" t="s">
        <v>51</v>
      </c>
      <c r="J12" s="89"/>
      <c r="K12" s="89"/>
      <c r="L12" s="19"/>
      <c r="M12" s="89" t="s">
        <v>43</v>
      </c>
      <c r="N12" s="89"/>
      <c r="O12" s="89" t="s">
        <v>52</v>
      </c>
      <c r="P12" s="89"/>
      <c r="Q12" s="89"/>
      <c r="R12" s="19"/>
      <c r="S12" s="89" t="s">
        <v>43</v>
      </c>
      <c r="T12" s="89"/>
      <c r="U12" s="89" t="s">
        <v>53</v>
      </c>
      <c r="V12" s="89"/>
      <c r="W12" s="89"/>
      <c r="X12" s="19"/>
      <c r="Y12" s="89" t="s">
        <v>43</v>
      </c>
      <c r="Z12" s="89"/>
      <c r="AA12" s="89" t="s">
        <v>54</v>
      </c>
      <c r="AB12" s="89"/>
      <c r="AC12" s="90"/>
    </row>
    <row r="13" spans="1:29" x14ac:dyDescent="0.25">
      <c r="A13" s="13" t="s">
        <v>25</v>
      </c>
      <c r="B13">
        <v>0.2717</v>
      </c>
      <c r="C13">
        <v>0.85</v>
      </c>
      <c r="D13">
        <v>0.3</v>
      </c>
      <c r="E13">
        <v>0.43</v>
      </c>
      <c r="F13" s="19"/>
      <c r="G13" t="s">
        <v>25</v>
      </c>
      <c r="H13">
        <v>0.2717</v>
      </c>
      <c r="I13">
        <v>0.85</v>
      </c>
      <c r="J13">
        <v>0.3</v>
      </c>
      <c r="K13">
        <v>0.43</v>
      </c>
      <c r="L13" s="19"/>
      <c r="M13" t="s">
        <v>25</v>
      </c>
      <c r="N13">
        <v>0.2717</v>
      </c>
      <c r="O13">
        <v>0.85</v>
      </c>
      <c r="P13">
        <v>0.3</v>
      </c>
      <c r="Q13">
        <v>0.43</v>
      </c>
      <c r="R13" s="19"/>
      <c r="S13" t="s">
        <v>25</v>
      </c>
      <c r="T13">
        <v>0.2717</v>
      </c>
      <c r="U13">
        <v>0.85</v>
      </c>
      <c r="V13">
        <v>0.3</v>
      </c>
      <c r="W13">
        <v>0.43</v>
      </c>
      <c r="X13" s="19"/>
      <c r="Y13" t="s">
        <v>25</v>
      </c>
      <c r="Z13">
        <v>0.2717</v>
      </c>
      <c r="AA13">
        <v>0.85</v>
      </c>
      <c r="AB13">
        <v>0.3</v>
      </c>
      <c r="AC13" s="14">
        <v>0.43</v>
      </c>
    </row>
    <row r="14" spans="1:29" x14ac:dyDescent="0.25">
      <c r="A14" s="13" t="s">
        <v>26</v>
      </c>
      <c r="B14">
        <v>0.19670000000000001</v>
      </c>
      <c r="C14">
        <v>0.75</v>
      </c>
      <c r="D14">
        <v>0.4</v>
      </c>
      <c r="E14">
        <v>0.53</v>
      </c>
      <c r="F14" s="19"/>
      <c r="G14" t="s">
        <v>26</v>
      </c>
      <c r="H14">
        <v>0.19670000000000001</v>
      </c>
      <c r="I14">
        <v>0.75</v>
      </c>
      <c r="J14">
        <v>0.4</v>
      </c>
      <c r="K14">
        <v>0.53</v>
      </c>
      <c r="L14" s="19"/>
      <c r="M14" t="s">
        <v>26</v>
      </c>
      <c r="N14">
        <v>0.19670000000000001</v>
      </c>
      <c r="O14">
        <v>0.75</v>
      </c>
      <c r="P14">
        <v>0.4</v>
      </c>
      <c r="Q14">
        <v>0.53</v>
      </c>
      <c r="R14" s="19"/>
      <c r="S14" t="s">
        <v>26</v>
      </c>
      <c r="T14">
        <v>0.19670000000000001</v>
      </c>
      <c r="U14">
        <v>0.75</v>
      </c>
      <c r="V14">
        <v>0.4</v>
      </c>
      <c r="W14">
        <v>0.53</v>
      </c>
      <c r="X14" s="19"/>
      <c r="Y14" t="s">
        <v>26</v>
      </c>
      <c r="Z14">
        <v>0.19670000000000001</v>
      </c>
      <c r="AA14">
        <v>0.75</v>
      </c>
      <c r="AB14">
        <v>0.4</v>
      </c>
      <c r="AC14" s="14">
        <v>0.53</v>
      </c>
    </row>
    <row r="15" spans="1:29" x14ac:dyDescent="0.25">
      <c r="A15" s="13" t="s">
        <v>27</v>
      </c>
      <c r="B15">
        <v>0.2467</v>
      </c>
      <c r="C15">
        <v>0.7</v>
      </c>
      <c r="D15">
        <v>0.45</v>
      </c>
      <c r="E15">
        <v>0.55000000000000004</v>
      </c>
      <c r="F15" s="19"/>
      <c r="G15" t="s">
        <v>27</v>
      </c>
      <c r="H15">
        <v>0.2467</v>
      </c>
      <c r="I15">
        <v>0.7</v>
      </c>
      <c r="J15">
        <v>0.45</v>
      </c>
      <c r="K15">
        <v>0.55000000000000004</v>
      </c>
      <c r="L15" s="19"/>
      <c r="M15" t="s">
        <v>27</v>
      </c>
      <c r="N15">
        <v>0.2467</v>
      </c>
      <c r="O15">
        <v>0.7</v>
      </c>
      <c r="P15">
        <v>0.45</v>
      </c>
      <c r="Q15">
        <v>0.55000000000000004</v>
      </c>
      <c r="R15" s="19"/>
      <c r="S15" t="s">
        <v>27</v>
      </c>
      <c r="T15">
        <v>0.2467</v>
      </c>
      <c r="U15">
        <v>0.7</v>
      </c>
      <c r="V15">
        <v>0.45</v>
      </c>
      <c r="W15">
        <v>0.55000000000000004</v>
      </c>
      <c r="X15" s="19"/>
      <c r="Y15" t="s">
        <v>27</v>
      </c>
      <c r="Z15">
        <v>0.2467</v>
      </c>
      <c r="AA15">
        <v>0.7</v>
      </c>
      <c r="AB15">
        <v>0.45</v>
      </c>
      <c r="AC15" s="14">
        <v>0.55000000000000004</v>
      </c>
    </row>
    <row r="16" spans="1:29" x14ac:dyDescent="0.25">
      <c r="A16" s="13" t="s">
        <v>28</v>
      </c>
      <c r="B16">
        <v>0.28489999999999999</v>
      </c>
      <c r="C16">
        <v>0.85</v>
      </c>
      <c r="D16">
        <v>0.3</v>
      </c>
      <c r="E16">
        <v>0.43</v>
      </c>
      <c r="F16" s="19"/>
      <c r="G16" t="s">
        <v>28</v>
      </c>
      <c r="H16">
        <v>0.28489999999999999</v>
      </c>
      <c r="I16">
        <v>0.85</v>
      </c>
      <c r="J16">
        <v>0.3</v>
      </c>
      <c r="K16">
        <v>0.43</v>
      </c>
      <c r="L16" s="19"/>
      <c r="M16" t="s">
        <v>28</v>
      </c>
      <c r="N16">
        <v>0.28489999999999999</v>
      </c>
      <c r="O16">
        <v>0.85</v>
      </c>
      <c r="P16">
        <v>0.3</v>
      </c>
      <c r="Q16">
        <v>0.43</v>
      </c>
      <c r="R16" s="19"/>
      <c r="S16" t="s">
        <v>28</v>
      </c>
      <c r="T16">
        <v>0.28489999999999999</v>
      </c>
      <c r="U16">
        <v>0.85</v>
      </c>
      <c r="V16">
        <v>0.3</v>
      </c>
      <c r="W16">
        <v>0.43</v>
      </c>
      <c r="X16" s="19"/>
      <c r="Y16" t="s">
        <v>28</v>
      </c>
      <c r="Z16">
        <v>0.28489999999999999</v>
      </c>
      <c r="AA16">
        <v>0.85</v>
      </c>
      <c r="AB16">
        <v>0.3</v>
      </c>
      <c r="AC16" s="14">
        <v>0.43</v>
      </c>
    </row>
    <row r="17" spans="1:29" x14ac:dyDescent="0.25">
      <c r="A17" s="13" t="s">
        <v>44</v>
      </c>
      <c r="C17">
        <f>SQRT(1-(((1-(C13)^2)^B13)*((1-(C14)^2)^B14)*((1-(C15)^2)^B15)*((1-(C16)^2)^B16)))</f>
        <v>0.80457345177478579</v>
      </c>
      <c r="D17">
        <f>((D13^B13)*(D14^B14)*(D15^B15)*(D16^B16))</f>
        <v>0.35086368298857923</v>
      </c>
      <c r="E17">
        <f>SQRT((((1-(C13)^2)^B13)*((1-(C14)^2)^B14)*((1-(C15)^2)^B15)*((1-(C16)^2)^B16))-((D13^B13)*(D14^B14)*(D15^B15)*(D16^B16))^2)</f>
        <v>0.47912027368803367</v>
      </c>
      <c r="F17" s="19"/>
      <c r="G17" t="s">
        <v>44</v>
      </c>
      <c r="I17">
        <f>SQRT(1-(((1-(I13)^2)^H13)*((1-(I14)^2)^H14)*((1-(I15)^2)^H15)*((1-(I16)^2)^H16)))</f>
        <v>0.80457345177478579</v>
      </c>
      <c r="J17">
        <f>((J13^H13)*(J14^H14)*(J15^H15)*(J16^H16))</f>
        <v>0.35086368298857923</v>
      </c>
      <c r="K17">
        <f>SQRT((((1-(I13)^2)^H13)*((1-(I14)^2)^H14)*((1-(I15)^2)^H15)*((1-(I16)^2)^H16))-((J13^H13)*(J14^H14)*(J15^H15)*(J16^H16))^2)</f>
        <v>0.47912027368803367</v>
      </c>
      <c r="L17" s="19"/>
      <c r="M17" t="s">
        <v>44</v>
      </c>
      <c r="O17">
        <f>SQRT(1-(((1-(O13)^2)^N13)*((1-(O14)^2)^N14)*((1-(O15)^2)^N15)*((1-(O16)^2)^N16)))</f>
        <v>0.80457345177478579</v>
      </c>
      <c r="P17">
        <f>((P13^N13)*(P14^N14)*(P15^N15)*(P16^N16))</f>
        <v>0.35086368298857923</v>
      </c>
      <c r="Q17">
        <f>SQRT((((1-(O13)^2)^N13)*((1-(O14)^2)^N14)*((1-(O15)^2)^N15)*((1-(O16)^2)^N16))-((P13^N13)*(P14^N14)*(P15^N15)*(P16^N16))^2)</f>
        <v>0.47912027368803367</v>
      </c>
      <c r="R17" s="19"/>
      <c r="S17" t="s">
        <v>44</v>
      </c>
      <c r="U17">
        <f>SQRT(1-(((1-(U13)^2)^T13)*((1-(U14)^2)^T14)*((1-(U15)^2)^T15)*((1-(U16)^2)^T16)))</f>
        <v>0.80457345177478579</v>
      </c>
      <c r="V17">
        <f>((V13^T13)*(V14^T14)*(V15^T15)*(V16^T16))</f>
        <v>0.35086368298857923</v>
      </c>
      <c r="W17">
        <f>SQRT((((1-(U13)^2)^T13)*((1-(U14)^2)^T14)*((1-(U15)^2)^T15)*((1-(U16)^2)^T16))-((V13^T13)*(V14^T14)*(V15^T15)*(V16^T16))^2)</f>
        <v>0.47912027368803367</v>
      </c>
      <c r="X17" s="19"/>
      <c r="Y17" t="s">
        <v>44</v>
      </c>
      <c r="AA17">
        <f>SQRT(1-(((1-(AA13)^2)^Z13)*((1-(AA14)^2)^Z14)*((1-(AA15)^2)^Z15)*((1-(AA16)^2)^Z16)))</f>
        <v>0.80457345177478579</v>
      </c>
      <c r="AB17">
        <f>((AB13^Z13)*(AB14^Z14)*(AB15^Z15)*(AB16^Z16))</f>
        <v>0.35086368298857923</v>
      </c>
      <c r="AC17" s="14">
        <f>SQRT((((1-(AA13)^2)^Z13)*((1-(AA14)^2)^Z14)*((1-(AA15)^2)^Z15)*((1-(AA16)^2)^Z16))-((AB13^Z13)*(AB14^Z14)*(AB15^Z15)*(AB16^Z16))^2)</f>
        <v>0.47912027368803367</v>
      </c>
    </row>
    <row r="18" spans="1:29" x14ac:dyDescent="0.25">
      <c r="A18" s="2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22"/>
    </row>
    <row r="19" spans="1:29" x14ac:dyDescent="0.25">
      <c r="A19" s="91" t="s">
        <v>43</v>
      </c>
      <c r="B19" s="89"/>
      <c r="C19" s="89" t="s">
        <v>55</v>
      </c>
      <c r="D19" s="89"/>
      <c r="E19" s="89"/>
      <c r="F19" s="19"/>
      <c r="G19" s="89" t="s">
        <v>43</v>
      </c>
      <c r="H19" s="89"/>
      <c r="I19" s="89" t="s">
        <v>56</v>
      </c>
      <c r="J19" s="89"/>
      <c r="K19" s="89"/>
      <c r="L19" s="19"/>
      <c r="M19" s="89" t="s">
        <v>43</v>
      </c>
      <c r="N19" s="89"/>
      <c r="O19" s="89" t="s">
        <v>57</v>
      </c>
      <c r="P19" s="89"/>
      <c r="Q19" s="89"/>
      <c r="R19" s="19"/>
      <c r="S19" s="89" t="s">
        <v>43</v>
      </c>
      <c r="T19" s="89"/>
      <c r="U19" s="89" t="s">
        <v>58</v>
      </c>
      <c r="V19" s="89"/>
      <c r="W19" s="89"/>
      <c r="X19" s="19"/>
      <c r="Y19" s="89" t="s">
        <v>43</v>
      </c>
      <c r="Z19" s="89"/>
      <c r="AA19" s="89" t="s">
        <v>59</v>
      </c>
      <c r="AB19" s="89"/>
      <c r="AC19" s="90"/>
    </row>
    <row r="20" spans="1:29" x14ac:dyDescent="0.25">
      <c r="A20" s="13" t="s">
        <v>25</v>
      </c>
      <c r="B20">
        <v>0.2717</v>
      </c>
      <c r="C20">
        <v>0.85</v>
      </c>
      <c r="D20">
        <v>0.3</v>
      </c>
      <c r="E20">
        <v>0.43</v>
      </c>
      <c r="F20" s="19"/>
      <c r="G20" t="s">
        <v>25</v>
      </c>
      <c r="H20">
        <v>0.2717</v>
      </c>
      <c r="I20">
        <v>0.85</v>
      </c>
      <c r="J20">
        <v>0.3</v>
      </c>
      <c r="K20">
        <v>0.43</v>
      </c>
      <c r="L20" s="19"/>
      <c r="M20" t="s">
        <v>25</v>
      </c>
      <c r="N20">
        <v>0.2717</v>
      </c>
      <c r="O20">
        <v>0.85</v>
      </c>
      <c r="P20">
        <v>0.3</v>
      </c>
      <c r="Q20">
        <v>0.43</v>
      </c>
      <c r="R20" s="19"/>
      <c r="S20" t="s">
        <v>25</v>
      </c>
      <c r="T20">
        <v>0.2717</v>
      </c>
      <c r="U20">
        <v>0.85</v>
      </c>
      <c r="V20">
        <v>0.3</v>
      </c>
      <c r="W20">
        <v>0.43</v>
      </c>
      <c r="X20" s="19"/>
      <c r="Y20" t="s">
        <v>25</v>
      </c>
      <c r="Z20">
        <v>0.2717</v>
      </c>
      <c r="AA20">
        <v>0.85</v>
      </c>
      <c r="AB20">
        <v>0.3</v>
      </c>
      <c r="AC20" s="14">
        <v>0.43</v>
      </c>
    </row>
    <row r="21" spans="1:29" x14ac:dyDescent="0.25">
      <c r="A21" s="13" t="s">
        <v>26</v>
      </c>
      <c r="B21">
        <v>0.19670000000000001</v>
      </c>
      <c r="C21">
        <v>0.75</v>
      </c>
      <c r="D21">
        <v>0.4</v>
      </c>
      <c r="E21">
        <v>0.53</v>
      </c>
      <c r="F21" s="19"/>
      <c r="G21" t="s">
        <v>26</v>
      </c>
      <c r="H21">
        <v>0.19670000000000001</v>
      </c>
      <c r="I21">
        <v>0.75</v>
      </c>
      <c r="J21">
        <v>0.4</v>
      </c>
      <c r="K21">
        <v>0.53</v>
      </c>
      <c r="L21" s="19"/>
      <c r="M21" t="s">
        <v>26</v>
      </c>
      <c r="N21">
        <v>0.19670000000000001</v>
      </c>
      <c r="O21">
        <v>0.75</v>
      </c>
      <c r="P21">
        <v>0.4</v>
      </c>
      <c r="Q21">
        <v>0.53</v>
      </c>
      <c r="R21" s="19"/>
      <c r="S21" t="s">
        <v>26</v>
      </c>
      <c r="T21">
        <v>0.19670000000000001</v>
      </c>
      <c r="U21">
        <v>0.75</v>
      </c>
      <c r="V21">
        <v>0.4</v>
      </c>
      <c r="W21">
        <v>0.53</v>
      </c>
      <c r="X21" s="19"/>
      <c r="Y21" t="s">
        <v>26</v>
      </c>
      <c r="Z21">
        <v>0.19670000000000001</v>
      </c>
      <c r="AA21">
        <v>0.75</v>
      </c>
      <c r="AB21">
        <v>0.4</v>
      </c>
      <c r="AC21" s="14">
        <v>0.53</v>
      </c>
    </row>
    <row r="22" spans="1:29" x14ac:dyDescent="0.25">
      <c r="A22" s="13" t="s">
        <v>27</v>
      </c>
      <c r="B22">
        <v>0.2467</v>
      </c>
      <c r="C22">
        <v>0.7</v>
      </c>
      <c r="D22">
        <v>0.45</v>
      </c>
      <c r="E22">
        <v>0.55000000000000004</v>
      </c>
      <c r="F22" s="19"/>
      <c r="G22" t="s">
        <v>27</v>
      </c>
      <c r="H22">
        <v>0.2467</v>
      </c>
      <c r="I22">
        <v>0.7</v>
      </c>
      <c r="J22">
        <v>0.45</v>
      </c>
      <c r="K22">
        <v>0.55000000000000004</v>
      </c>
      <c r="L22" s="19"/>
      <c r="M22" t="s">
        <v>27</v>
      </c>
      <c r="N22">
        <v>0.2467</v>
      </c>
      <c r="O22">
        <v>0.7</v>
      </c>
      <c r="P22">
        <v>0.45</v>
      </c>
      <c r="Q22">
        <v>0.55000000000000004</v>
      </c>
      <c r="R22" s="19"/>
      <c r="S22" t="s">
        <v>27</v>
      </c>
      <c r="T22">
        <v>0.2467</v>
      </c>
      <c r="U22">
        <v>0.7</v>
      </c>
      <c r="V22">
        <v>0.45</v>
      </c>
      <c r="W22">
        <v>0.55000000000000004</v>
      </c>
      <c r="X22" s="19"/>
      <c r="Y22" t="s">
        <v>27</v>
      </c>
      <c r="Z22">
        <v>0.2467</v>
      </c>
      <c r="AA22">
        <v>0.7</v>
      </c>
      <c r="AB22">
        <v>0.45</v>
      </c>
      <c r="AC22" s="14">
        <v>0.55000000000000004</v>
      </c>
    </row>
    <row r="23" spans="1:29" x14ac:dyDescent="0.25">
      <c r="A23" s="13" t="s">
        <v>28</v>
      </c>
      <c r="B23">
        <v>0.28489999999999999</v>
      </c>
      <c r="C23">
        <v>0.85</v>
      </c>
      <c r="D23">
        <v>0.3</v>
      </c>
      <c r="E23">
        <v>0.43</v>
      </c>
      <c r="F23" s="19"/>
      <c r="G23" t="s">
        <v>28</v>
      </c>
      <c r="H23">
        <v>0.28489999999999999</v>
      </c>
      <c r="I23">
        <v>0.85</v>
      </c>
      <c r="J23">
        <v>0.3</v>
      </c>
      <c r="K23">
        <v>0.43</v>
      </c>
      <c r="L23" s="19"/>
      <c r="M23" t="s">
        <v>28</v>
      </c>
      <c r="N23">
        <v>0.28489999999999999</v>
      </c>
      <c r="O23">
        <v>0.85</v>
      </c>
      <c r="P23">
        <v>0.3</v>
      </c>
      <c r="Q23">
        <v>0.43</v>
      </c>
      <c r="R23" s="19"/>
      <c r="S23" t="s">
        <v>28</v>
      </c>
      <c r="T23">
        <v>0.28489999999999999</v>
      </c>
      <c r="U23">
        <v>0.85</v>
      </c>
      <c r="V23">
        <v>0.3</v>
      </c>
      <c r="W23">
        <v>0.43</v>
      </c>
      <c r="X23" s="19"/>
      <c r="Y23" t="s">
        <v>28</v>
      </c>
      <c r="Z23">
        <v>0.28489999999999999</v>
      </c>
      <c r="AA23">
        <v>0.85</v>
      </c>
      <c r="AB23">
        <v>0.3</v>
      </c>
      <c r="AC23" s="14">
        <v>0.43</v>
      </c>
    </row>
    <row r="24" spans="1:29" x14ac:dyDescent="0.25">
      <c r="A24" s="13" t="s">
        <v>44</v>
      </c>
      <c r="C24">
        <f>SQRT(1-(((1-(C20)^2)^B20)*((1-(C21)^2)^B21)*((1-(C22)^2)^B22)*((1-(C23)^2)^B23)))</f>
        <v>0.80457345177478579</v>
      </c>
      <c r="D24">
        <f>((D20^B20)*(D21^B21)*(D22^B22)*(D23^B23))</f>
        <v>0.35086368298857923</v>
      </c>
      <c r="E24">
        <f>SQRT((((1-(C20)^2)^B20)*((1-(C21)^2)^B21)*((1-(C22)^2)^B22)*((1-(C23)^2)^B23))-((D20^B20)*(D21^B21)*(D22^B22)*(D23^B23))^2)</f>
        <v>0.47912027368803367</v>
      </c>
      <c r="F24" s="19"/>
      <c r="G24" t="s">
        <v>44</v>
      </c>
      <c r="I24">
        <f>SQRT(1-(((1-(I20)^2)^H20)*((1-(I21)^2)^H21)*((1-(I22)^2)^H22)*((1-(I23)^2)^H23)))</f>
        <v>0.80457345177478579</v>
      </c>
      <c r="J24">
        <f>((J20^H20)*(J21^H21)*(J22^H22)*(J23^H23))</f>
        <v>0.35086368298857923</v>
      </c>
      <c r="K24">
        <f>SQRT((((1-(I20)^2)^H20)*((1-(I21)^2)^H21)*((1-(I22)^2)^H22)*((1-(I23)^2)^H23))-((J20^H20)*(J21^H21)*(J22^H22)*(J23^H23))^2)</f>
        <v>0.47912027368803367</v>
      </c>
      <c r="L24" s="19"/>
      <c r="M24" t="s">
        <v>44</v>
      </c>
      <c r="O24">
        <f>SQRT(1-(((1-(O20)^2)^N20)*((1-(O21)^2)^N21)*((1-(O22)^2)^N22)*((1-(O23)^2)^N23)))</f>
        <v>0.80457345177478579</v>
      </c>
      <c r="P24">
        <f>((P20^N20)*(P21^N21)*(P22^N22)*(P23^N23))</f>
        <v>0.35086368298857923</v>
      </c>
      <c r="Q24">
        <f>SQRT((((1-(O20)^2)^N20)*((1-(O21)^2)^N21)*((1-(O22)^2)^N22)*((1-(O23)^2)^N23))-((P20^N20)*(P21^N21)*(P22^N22)*(P23^N23))^2)</f>
        <v>0.47912027368803367</v>
      </c>
      <c r="R24" s="19"/>
      <c r="S24" t="s">
        <v>44</v>
      </c>
      <c r="U24">
        <f>SQRT(1-(((1-(U20)^2)^T20)*((1-(U21)^2)^T21)*((1-(U22)^2)^T22)*((1-(U23)^2)^T23)))</f>
        <v>0.80457345177478579</v>
      </c>
      <c r="V24">
        <f>((V20^T20)*(V21^T21)*(V22^T22)*(V23^T23))</f>
        <v>0.35086368298857923</v>
      </c>
      <c r="W24">
        <f>SQRT((((1-(U20)^2)^T20)*((1-(U21)^2)^T21)*((1-(U22)^2)^T22)*((1-(U23)^2)^T23))-((V20^T20)*(V21^T21)*(V22^T22)*(V23^T23))^2)</f>
        <v>0.47912027368803367</v>
      </c>
      <c r="X24" s="19"/>
      <c r="Y24" t="s">
        <v>44</v>
      </c>
      <c r="AA24">
        <f>SQRT(1-(((1-(AA20)^2)^Z20)*((1-(AA21)^2)^Z21)*((1-(AA22)^2)^Z22)*((1-(AA23)^2)^Z23)))</f>
        <v>0.80457345177478579</v>
      </c>
      <c r="AB24">
        <f>((AB20^Z20)*(AB21^Z21)*(AB22^Z22)*(AB23^Z23))</f>
        <v>0.35086368298857923</v>
      </c>
      <c r="AC24" s="14">
        <f>SQRT((((1-(AA20)^2)^Z20)*((1-(AA21)^2)^Z21)*((1-(AA22)^2)^Z22)*((1-(AA23)^2)^Z23))-((AB20^Z20)*(AB21^Z21)*(AB22^Z22)*(AB23^Z23))^2)</f>
        <v>0.47912027368803367</v>
      </c>
    </row>
    <row r="25" spans="1:29" x14ac:dyDescent="0.25">
      <c r="A25" s="2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22"/>
    </row>
    <row r="26" spans="1:29" x14ac:dyDescent="0.25">
      <c r="A26" s="91" t="s">
        <v>43</v>
      </c>
      <c r="B26" s="89"/>
      <c r="C26" s="89" t="s">
        <v>60</v>
      </c>
      <c r="D26" s="89"/>
      <c r="E26" s="89"/>
      <c r="F26" s="19"/>
      <c r="G26" s="89" t="s">
        <v>43</v>
      </c>
      <c r="H26" s="89"/>
      <c r="I26" s="89" t="s">
        <v>61</v>
      </c>
      <c r="J26" s="89"/>
      <c r="K26" s="89"/>
      <c r="L26" s="19"/>
      <c r="M26" s="89" t="s">
        <v>43</v>
      </c>
      <c r="N26" s="89"/>
      <c r="O26" s="89" t="s">
        <v>62</v>
      </c>
      <c r="P26" s="89"/>
      <c r="Q26" s="89"/>
      <c r="R26" s="19"/>
      <c r="S26" s="89" t="s">
        <v>43</v>
      </c>
      <c r="T26" s="89"/>
      <c r="U26" s="89" t="s">
        <v>63</v>
      </c>
      <c r="V26" s="89"/>
      <c r="W26" s="89"/>
      <c r="X26" s="19"/>
      <c r="Y26" s="89" t="s">
        <v>43</v>
      </c>
      <c r="Z26" s="89"/>
      <c r="AA26" s="89" t="s">
        <v>64</v>
      </c>
      <c r="AB26" s="89"/>
      <c r="AC26" s="90"/>
    </row>
    <row r="27" spans="1:29" x14ac:dyDescent="0.25">
      <c r="A27" s="13" t="s">
        <v>25</v>
      </c>
      <c r="B27">
        <v>0.2717</v>
      </c>
      <c r="C27">
        <v>0.85</v>
      </c>
      <c r="D27">
        <v>0.3</v>
      </c>
      <c r="E27">
        <v>0.43</v>
      </c>
      <c r="F27" s="19"/>
      <c r="G27" t="s">
        <v>25</v>
      </c>
      <c r="H27">
        <v>0.2717</v>
      </c>
      <c r="I27">
        <v>0.85</v>
      </c>
      <c r="J27">
        <v>0.3</v>
      </c>
      <c r="K27">
        <v>0.43</v>
      </c>
      <c r="L27" s="19"/>
      <c r="M27" t="s">
        <v>25</v>
      </c>
      <c r="N27">
        <v>0.2717</v>
      </c>
      <c r="O27">
        <v>0.85</v>
      </c>
      <c r="P27">
        <v>0.3</v>
      </c>
      <c r="Q27">
        <v>0.43</v>
      </c>
      <c r="R27" s="19"/>
      <c r="S27" t="s">
        <v>25</v>
      </c>
      <c r="T27">
        <v>0.2717</v>
      </c>
      <c r="U27">
        <v>0.85</v>
      </c>
      <c r="V27">
        <v>0.3</v>
      </c>
      <c r="W27">
        <v>0.43</v>
      </c>
      <c r="X27" s="19"/>
      <c r="Y27" t="s">
        <v>25</v>
      </c>
      <c r="Z27">
        <v>0.2717</v>
      </c>
      <c r="AA27">
        <v>0.85</v>
      </c>
      <c r="AB27">
        <v>0.3</v>
      </c>
      <c r="AC27" s="14">
        <v>0.43</v>
      </c>
    </row>
    <row r="28" spans="1:29" x14ac:dyDescent="0.25">
      <c r="A28" s="13" t="s">
        <v>26</v>
      </c>
      <c r="B28">
        <v>0.19670000000000001</v>
      </c>
      <c r="C28">
        <v>0.75</v>
      </c>
      <c r="D28">
        <v>0.4</v>
      </c>
      <c r="E28">
        <v>0.53</v>
      </c>
      <c r="F28" s="19"/>
      <c r="G28" t="s">
        <v>26</v>
      </c>
      <c r="H28">
        <v>0.19670000000000001</v>
      </c>
      <c r="I28">
        <v>0.75</v>
      </c>
      <c r="J28">
        <v>0.4</v>
      </c>
      <c r="K28">
        <v>0.53</v>
      </c>
      <c r="L28" s="19"/>
      <c r="M28" t="s">
        <v>26</v>
      </c>
      <c r="N28">
        <v>0.19670000000000001</v>
      </c>
      <c r="O28">
        <v>0.75</v>
      </c>
      <c r="P28">
        <v>0.4</v>
      </c>
      <c r="Q28">
        <v>0.53</v>
      </c>
      <c r="R28" s="19"/>
      <c r="S28" t="s">
        <v>26</v>
      </c>
      <c r="T28">
        <v>0.19670000000000001</v>
      </c>
      <c r="U28">
        <v>0.75</v>
      </c>
      <c r="V28">
        <v>0.4</v>
      </c>
      <c r="W28">
        <v>0.53</v>
      </c>
      <c r="X28" s="19"/>
      <c r="Y28" t="s">
        <v>26</v>
      </c>
      <c r="Z28">
        <v>0.19670000000000001</v>
      </c>
      <c r="AA28">
        <v>0.75</v>
      </c>
      <c r="AB28">
        <v>0.4</v>
      </c>
      <c r="AC28" s="14">
        <v>0.53</v>
      </c>
    </row>
    <row r="29" spans="1:29" x14ac:dyDescent="0.25">
      <c r="A29" s="13" t="s">
        <v>27</v>
      </c>
      <c r="B29">
        <v>0.2467</v>
      </c>
      <c r="C29">
        <v>0.7</v>
      </c>
      <c r="D29">
        <v>0.45</v>
      </c>
      <c r="E29">
        <v>0.55000000000000004</v>
      </c>
      <c r="F29" s="19"/>
      <c r="G29" t="s">
        <v>27</v>
      </c>
      <c r="H29">
        <v>0.2467</v>
      </c>
      <c r="I29">
        <v>0.7</v>
      </c>
      <c r="J29">
        <v>0.45</v>
      </c>
      <c r="K29">
        <v>0.55000000000000004</v>
      </c>
      <c r="L29" s="19"/>
      <c r="M29" t="s">
        <v>27</v>
      </c>
      <c r="N29">
        <v>0.2467</v>
      </c>
      <c r="O29">
        <v>0.7</v>
      </c>
      <c r="P29">
        <v>0.45</v>
      </c>
      <c r="Q29">
        <v>0.55000000000000004</v>
      </c>
      <c r="R29" s="19"/>
      <c r="S29" t="s">
        <v>27</v>
      </c>
      <c r="T29">
        <v>0.2467</v>
      </c>
      <c r="U29">
        <v>0.7</v>
      </c>
      <c r="V29">
        <v>0.45</v>
      </c>
      <c r="W29">
        <v>0.55000000000000004</v>
      </c>
      <c r="X29" s="19"/>
      <c r="Y29" t="s">
        <v>27</v>
      </c>
      <c r="Z29">
        <v>0.2467</v>
      </c>
      <c r="AA29">
        <v>0.7</v>
      </c>
      <c r="AB29">
        <v>0.45</v>
      </c>
      <c r="AC29" s="14">
        <v>0.55000000000000004</v>
      </c>
    </row>
    <row r="30" spans="1:29" x14ac:dyDescent="0.25">
      <c r="A30" s="13" t="s">
        <v>28</v>
      </c>
      <c r="B30">
        <v>0.28489999999999999</v>
      </c>
      <c r="C30">
        <v>0.85</v>
      </c>
      <c r="D30">
        <v>0.3</v>
      </c>
      <c r="E30">
        <v>0.43</v>
      </c>
      <c r="F30" s="19"/>
      <c r="G30" t="s">
        <v>28</v>
      </c>
      <c r="H30">
        <v>0.28489999999999999</v>
      </c>
      <c r="I30">
        <v>0.85</v>
      </c>
      <c r="J30">
        <v>0.3</v>
      </c>
      <c r="K30">
        <v>0.43</v>
      </c>
      <c r="L30" s="19"/>
      <c r="M30" t="s">
        <v>28</v>
      </c>
      <c r="N30">
        <v>0.28489999999999999</v>
      </c>
      <c r="O30">
        <v>0.85</v>
      </c>
      <c r="P30">
        <v>0.3</v>
      </c>
      <c r="Q30">
        <v>0.43</v>
      </c>
      <c r="R30" s="19"/>
      <c r="S30" t="s">
        <v>28</v>
      </c>
      <c r="T30">
        <v>0.28489999999999999</v>
      </c>
      <c r="U30">
        <v>0.85</v>
      </c>
      <c r="V30">
        <v>0.3</v>
      </c>
      <c r="W30">
        <v>0.43</v>
      </c>
      <c r="X30" s="19"/>
      <c r="Y30" t="s">
        <v>28</v>
      </c>
      <c r="Z30">
        <v>0.28489999999999999</v>
      </c>
      <c r="AA30">
        <v>0.85</v>
      </c>
      <c r="AB30">
        <v>0.3</v>
      </c>
      <c r="AC30" s="14">
        <v>0.43</v>
      </c>
    </row>
    <row r="31" spans="1:29" ht="15.75" thickBot="1" x14ac:dyDescent="0.3">
      <c r="A31" s="15" t="s">
        <v>44</v>
      </c>
      <c r="B31" s="16"/>
      <c r="C31" s="16">
        <f>SQRT(1-(((1-(C27)^2)^B27)*((1-(C28)^2)^B28)*((1-(C29)^2)^B29)*((1-(C30)^2)^B30)))</f>
        <v>0.80457345177478579</v>
      </c>
      <c r="D31" s="16">
        <f>((D27^B27)*(D28^B28)*(D29^B29)*(D30^B30))</f>
        <v>0.35086368298857923</v>
      </c>
      <c r="E31" s="16">
        <f>SQRT((((1-(C27)^2)^B27)*((1-(C28)^2)^B28)*((1-(C29)^2)^B29)*((1-(C30)^2)^B30))-((D27^B27)*(D28^B28)*(D29^B29)*(D30^B30))^2)</f>
        <v>0.47912027368803367</v>
      </c>
      <c r="F31" s="20"/>
      <c r="G31" s="16" t="s">
        <v>44</v>
      </c>
      <c r="H31" s="16"/>
      <c r="I31" s="16">
        <f>SQRT(1-(((1-(I27)^2)^H27)*((1-(I28)^2)^H28)*((1-(I29)^2)^H29)*((1-(I30)^2)^H30)))</f>
        <v>0.80457345177478579</v>
      </c>
      <c r="J31" s="16">
        <f>((J27^H27)*(J28^H28)*(J29^H29)*(J30^H30))</f>
        <v>0.35086368298857923</v>
      </c>
      <c r="K31" s="16">
        <f>SQRT((((1-(I27)^2)^H27)*((1-(I28)^2)^H28)*((1-(I29)^2)^H29)*((1-(I30)^2)^H30))-((J27^H27)*(J28^H28)*(J29^H29)*(J30^H30))^2)</f>
        <v>0.47912027368803367</v>
      </c>
      <c r="L31" s="20"/>
      <c r="M31" s="16" t="s">
        <v>44</v>
      </c>
      <c r="N31" s="16"/>
      <c r="O31" s="16">
        <f>SQRT(1-(((1-(O27)^2)^N27)*((1-(O28)^2)^N28)*((1-(O29)^2)^N29)*((1-(O30)^2)^N30)))</f>
        <v>0.80457345177478579</v>
      </c>
      <c r="P31" s="16">
        <f>((P27^N27)*(P28^N28)*(P29^N29)*(P30^N30))</f>
        <v>0.35086368298857923</v>
      </c>
      <c r="Q31" s="16">
        <f>SQRT((((1-(O27)^2)^N27)*((1-(O28)^2)^N28)*((1-(O29)^2)^N29)*((1-(O30)^2)^N30))-((P27^N27)*(P28^N28)*(P29^N29)*(P30^N30))^2)</f>
        <v>0.47912027368803367</v>
      </c>
      <c r="R31" s="20"/>
      <c r="S31" s="16" t="s">
        <v>44</v>
      </c>
      <c r="T31" s="16"/>
      <c r="U31" s="16">
        <f>SQRT(1-(((1-(U27)^2)^T27)*((1-(U28)^2)^T28)*((1-(U29)^2)^T29)*((1-(U30)^2)^T30)))</f>
        <v>0.80457345177478579</v>
      </c>
      <c r="V31" s="16">
        <f>((V27^T27)*(V28^T28)*(V29^T29)*(V30^T30))</f>
        <v>0.35086368298857923</v>
      </c>
      <c r="W31" s="16">
        <f>SQRT((((1-(U27)^2)^T27)*((1-(U28)^2)^T28)*((1-(U29)^2)^T29)*((1-(U30)^2)^T30))-((V27^T27)*(V28^T28)*(V29^T29)*(V30^T30))^2)</f>
        <v>0.47912027368803367</v>
      </c>
      <c r="X31" s="20"/>
      <c r="Y31" s="16" t="s">
        <v>44</v>
      </c>
      <c r="Z31" s="16"/>
      <c r="AA31" s="16">
        <f>SQRT(1-(((1-(AA27)^2)^Z27)*((1-(AA28)^2)^Z28)*((1-(AA29)^2)^Z29)*((1-(AA30)^2)^Z30)))</f>
        <v>0.80457345177478579</v>
      </c>
      <c r="AB31" s="16">
        <f>((AB27^Z27)*(AB28^Z28)*(AB29^Z29)*(AB30^Z30))</f>
        <v>0.35086368298857923</v>
      </c>
      <c r="AC31" s="17">
        <f>SQRT((((1-(AA27)^2)^Z27)*((1-(AA28)^2)^Z28)*((1-(AA29)^2)^Z29)*((1-(AA30)^2)^Z30))-((AB27^Z27)*(AB28^Z28)*(AB29^Z29)*(AB30^Z30))^2)</f>
        <v>0.47912027368803367</v>
      </c>
    </row>
  </sheetData>
  <mergeCells count="41">
    <mergeCell ref="A5:B5"/>
    <mergeCell ref="C5:E5"/>
    <mergeCell ref="G5:H5"/>
    <mergeCell ref="I5:K5"/>
    <mergeCell ref="M5:N5"/>
    <mergeCell ref="O5:Q5"/>
    <mergeCell ref="S5:T5"/>
    <mergeCell ref="U5:W5"/>
    <mergeCell ref="Y5:Z5"/>
    <mergeCell ref="AA5:AC5"/>
    <mergeCell ref="A12:B12"/>
    <mergeCell ref="C12:E12"/>
    <mergeCell ref="G12:H12"/>
    <mergeCell ref="I12:K12"/>
    <mergeCell ref="M12:N12"/>
    <mergeCell ref="O12:Q12"/>
    <mergeCell ref="S12:T12"/>
    <mergeCell ref="U12:W12"/>
    <mergeCell ref="Y12:Z12"/>
    <mergeCell ref="AA12:AC12"/>
    <mergeCell ref="A19:B19"/>
    <mergeCell ref="C19:E19"/>
    <mergeCell ref="G19:H19"/>
    <mergeCell ref="I19:K19"/>
    <mergeCell ref="M19:N19"/>
    <mergeCell ref="A2:AC2"/>
    <mergeCell ref="O26:Q26"/>
    <mergeCell ref="S26:T26"/>
    <mergeCell ref="U26:W26"/>
    <mergeCell ref="Y26:Z26"/>
    <mergeCell ref="AA26:AC26"/>
    <mergeCell ref="A26:B26"/>
    <mergeCell ref="C26:E26"/>
    <mergeCell ref="G26:H26"/>
    <mergeCell ref="I26:K26"/>
    <mergeCell ref="M26:N26"/>
    <mergeCell ref="O19:Q19"/>
    <mergeCell ref="S19:T19"/>
    <mergeCell ref="U19:W19"/>
    <mergeCell ref="Y19:Z19"/>
    <mergeCell ref="AA19:AC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03E6-A439-4328-AE2A-29156D3DAE4B}">
  <dimension ref="B5:V88"/>
  <sheetViews>
    <sheetView workbookViewId="0">
      <selection activeCell="L25" sqref="L25"/>
    </sheetView>
  </sheetViews>
  <sheetFormatPr defaultRowHeight="15" x14ac:dyDescent="0.25"/>
  <sheetData>
    <row r="5" spans="2:22" x14ac:dyDescent="0.25">
      <c r="R5">
        <f t="shared" ref="R5:V7" si="0">B11-B10</f>
        <v>-3.699999999999995E-3</v>
      </c>
      <c r="S5">
        <f t="shared" si="0"/>
        <v>-0.14899999999999999</v>
      </c>
      <c r="T5">
        <f t="shared" si="0"/>
        <v>-9.2400000000000038E-2</v>
      </c>
      <c r="U5">
        <f t="shared" si="0"/>
        <v>-8.8100000000000012E-2</v>
      </c>
      <c r="V5">
        <f t="shared" si="0"/>
        <v>-7.9399999999999998E-2</v>
      </c>
    </row>
    <row r="6" spans="2:22" x14ac:dyDescent="0.25">
      <c r="R6">
        <f t="shared" si="0"/>
        <v>-0.33450000000000002</v>
      </c>
      <c r="S6">
        <f t="shared" si="0"/>
        <v>-0.53439999999999999</v>
      </c>
      <c r="T6">
        <f t="shared" si="0"/>
        <v>-0.37469999999999998</v>
      </c>
      <c r="U6">
        <f t="shared" si="0"/>
        <v>-0.3241</v>
      </c>
      <c r="V6">
        <f t="shared" si="0"/>
        <v>-0.59040000000000004</v>
      </c>
    </row>
    <row r="7" spans="2:22" x14ac:dyDescent="0.25">
      <c r="R7">
        <f t="shared" si="0"/>
        <v>0.06</v>
      </c>
      <c r="S7">
        <f t="shared" si="0"/>
        <v>0.3518</v>
      </c>
      <c r="T7">
        <f t="shared" si="0"/>
        <v>0.1012</v>
      </c>
      <c r="U7">
        <f t="shared" si="0"/>
        <v>0.12740000000000001</v>
      </c>
      <c r="V7">
        <f t="shared" si="0"/>
        <v>0.18920000000000001</v>
      </c>
    </row>
    <row r="8" spans="2:22" x14ac:dyDescent="0.25">
      <c r="R8">
        <f t="shared" ref="R8:V9" si="1">B12-B10</f>
        <v>-0.3382</v>
      </c>
      <c r="S8">
        <f t="shared" si="1"/>
        <v>-0.68340000000000001</v>
      </c>
      <c r="T8">
        <f t="shared" si="1"/>
        <v>-0.46710000000000002</v>
      </c>
      <c r="U8">
        <f t="shared" si="1"/>
        <v>-0.41220000000000001</v>
      </c>
      <c r="V8">
        <f t="shared" si="1"/>
        <v>-0.66979999999999995</v>
      </c>
    </row>
    <row r="9" spans="2:22" x14ac:dyDescent="0.25">
      <c r="R9">
        <f t="shared" si="1"/>
        <v>-0.27450000000000002</v>
      </c>
      <c r="S9">
        <f t="shared" si="1"/>
        <v>-0.18259999999999998</v>
      </c>
      <c r="T9">
        <f t="shared" si="1"/>
        <v>-0.27349999999999997</v>
      </c>
      <c r="U9">
        <f t="shared" si="1"/>
        <v>-0.19669999999999999</v>
      </c>
      <c r="V9">
        <f t="shared" si="1"/>
        <v>-0.4012</v>
      </c>
    </row>
    <row r="10" spans="2:22" x14ac:dyDescent="0.25">
      <c r="B10">
        <v>0.127</v>
      </c>
      <c r="C10">
        <v>0.33529999999999999</v>
      </c>
      <c r="D10">
        <v>0.39340000000000003</v>
      </c>
      <c r="E10">
        <v>-0.126</v>
      </c>
      <c r="F10">
        <v>0.2898</v>
      </c>
      <c r="R10">
        <f>B13-B10</f>
        <v>-0.2782</v>
      </c>
      <c r="S10">
        <f>C13-C10</f>
        <v>-0.33160000000000001</v>
      </c>
      <c r="T10">
        <f>D13-D10</f>
        <v>-0.3659</v>
      </c>
      <c r="U10">
        <f>E13-E10</f>
        <v>-0.2848</v>
      </c>
      <c r="V10">
        <f>F13-F10</f>
        <v>-0.48060000000000003</v>
      </c>
    </row>
    <row r="11" spans="2:22" x14ac:dyDescent="0.25">
      <c r="B11">
        <v>0.12330000000000001</v>
      </c>
      <c r="C11">
        <v>0.18629999999999999</v>
      </c>
      <c r="D11">
        <v>0.30099999999999999</v>
      </c>
      <c r="E11">
        <v>-0.21410000000000001</v>
      </c>
      <c r="F11">
        <v>0.2104</v>
      </c>
      <c r="R11">
        <f>-R5</f>
        <v>3.699999999999995E-3</v>
      </c>
      <c r="S11">
        <f t="shared" ref="S11:V11" si="2">-S5</f>
        <v>0.14899999999999999</v>
      </c>
      <c r="T11">
        <f t="shared" si="2"/>
        <v>9.2400000000000038E-2</v>
      </c>
      <c r="U11">
        <f t="shared" si="2"/>
        <v>8.8100000000000012E-2</v>
      </c>
      <c r="V11">
        <f t="shared" si="2"/>
        <v>7.9399999999999998E-2</v>
      </c>
    </row>
    <row r="12" spans="2:22" x14ac:dyDescent="0.25">
      <c r="B12">
        <v>-0.2112</v>
      </c>
      <c r="C12">
        <v>-0.34810000000000002</v>
      </c>
      <c r="D12">
        <v>-7.3700000000000002E-2</v>
      </c>
      <c r="E12">
        <v>-0.53820000000000001</v>
      </c>
      <c r="F12">
        <v>-0.38</v>
      </c>
      <c r="R12">
        <f t="shared" ref="R12:V16" si="3">-R6</f>
        <v>0.33450000000000002</v>
      </c>
      <c r="S12">
        <f t="shared" si="3"/>
        <v>0.53439999999999999</v>
      </c>
      <c r="T12">
        <f t="shared" si="3"/>
        <v>0.37469999999999998</v>
      </c>
      <c r="U12">
        <f t="shared" si="3"/>
        <v>0.3241</v>
      </c>
      <c r="V12">
        <f t="shared" si="3"/>
        <v>0.59040000000000004</v>
      </c>
    </row>
    <row r="13" spans="2:22" x14ac:dyDescent="0.25">
      <c r="B13">
        <v>-0.1512</v>
      </c>
      <c r="C13">
        <v>3.7000000000000002E-3</v>
      </c>
      <c r="D13">
        <v>2.75E-2</v>
      </c>
      <c r="E13">
        <v>-0.4108</v>
      </c>
      <c r="F13">
        <v>-0.1908</v>
      </c>
      <c r="R13">
        <f t="shared" si="3"/>
        <v>-0.06</v>
      </c>
      <c r="S13">
        <f t="shared" si="3"/>
        <v>-0.3518</v>
      </c>
      <c r="T13">
        <f t="shared" si="3"/>
        <v>-0.1012</v>
      </c>
      <c r="U13">
        <f t="shared" si="3"/>
        <v>-0.12740000000000001</v>
      </c>
      <c r="V13">
        <f t="shared" si="3"/>
        <v>-0.18920000000000001</v>
      </c>
    </row>
    <row r="14" spans="2:22" x14ac:dyDescent="0.25">
      <c r="R14">
        <f t="shared" si="3"/>
        <v>0.3382</v>
      </c>
      <c r="S14">
        <f t="shared" si="3"/>
        <v>0.68340000000000001</v>
      </c>
      <c r="T14">
        <f t="shared" si="3"/>
        <v>0.46710000000000002</v>
      </c>
      <c r="U14">
        <f t="shared" si="3"/>
        <v>0.41220000000000001</v>
      </c>
      <c r="V14">
        <f t="shared" si="3"/>
        <v>0.66979999999999995</v>
      </c>
    </row>
    <row r="15" spans="2:22" x14ac:dyDescent="0.25">
      <c r="R15">
        <f t="shared" si="3"/>
        <v>0.27450000000000002</v>
      </c>
      <c r="S15">
        <f t="shared" si="3"/>
        <v>0.18259999999999998</v>
      </c>
      <c r="T15">
        <f t="shared" si="3"/>
        <v>0.27349999999999997</v>
      </c>
      <c r="U15">
        <f t="shared" si="3"/>
        <v>0.19669999999999999</v>
      </c>
      <c r="V15">
        <f t="shared" si="3"/>
        <v>0.4012</v>
      </c>
    </row>
    <row r="16" spans="2:22" x14ac:dyDescent="0.25">
      <c r="B16">
        <f>B10-$B$10</f>
        <v>0</v>
      </c>
      <c r="R16">
        <f t="shared" si="3"/>
        <v>0.2782</v>
      </c>
      <c r="S16">
        <f t="shared" si="3"/>
        <v>0.33160000000000001</v>
      </c>
      <c r="T16">
        <f t="shared" si="3"/>
        <v>0.3659</v>
      </c>
      <c r="U16">
        <f t="shared" si="3"/>
        <v>0.2848</v>
      </c>
      <c r="V16">
        <f t="shared" si="3"/>
        <v>0.48060000000000003</v>
      </c>
    </row>
    <row r="17" spans="2:13" x14ac:dyDescent="0.25">
      <c r="B17">
        <f t="shared" ref="B17:B19" si="4">B11-$B$10</f>
        <v>-3.699999999999995E-3</v>
      </c>
      <c r="J17" s="57" t="s">
        <v>147</v>
      </c>
      <c r="K17" s="57">
        <v>0.12</v>
      </c>
      <c r="L17" s="56" t="s">
        <v>148</v>
      </c>
      <c r="M17" s="56">
        <v>0.40250000000000002</v>
      </c>
    </row>
    <row r="18" spans="2:13" x14ac:dyDescent="0.25">
      <c r="B18">
        <f t="shared" si="4"/>
        <v>-0.3382</v>
      </c>
    </row>
    <row r="19" spans="2:13" x14ac:dyDescent="0.25">
      <c r="B19">
        <f t="shared" si="4"/>
        <v>-0.2782</v>
      </c>
      <c r="J19" s="19">
        <v>0</v>
      </c>
      <c r="K19" s="19">
        <v>-3.7000000000000002E-3</v>
      </c>
      <c r="L19" s="19">
        <v>-0.3382</v>
      </c>
      <c r="M19" s="19">
        <v>-0.2782</v>
      </c>
    </row>
    <row r="20" spans="2:13" x14ac:dyDescent="0.25">
      <c r="B20">
        <f>B10-$B$11</f>
        <v>3.699999999999995E-3</v>
      </c>
      <c r="J20" s="19">
        <v>3.699999999999995E-3</v>
      </c>
      <c r="K20" s="19">
        <v>0</v>
      </c>
      <c r="L20" s="19">
        <v>-0.33450000000000002</v>
      </c>
      <c r="M20" s="19">
        <v>-0.27450000000000002</v>
      </c>
    </row>
    <row r="21" spans="2:13" x14ac:dyDescent="0.25">
      <c r="B21">
        <f t="shared" ref="B21:B23" si="5">B11-$B$11</f>
        <v>0</v>
      </c>
      <c r="J21" s="19">
        <v>0.3382</v>
      </c>
      <c r="K21" s="19">
        <v>0.33450000000000002</v>
      </c>
      <c r="L21" s="19">
        <v>0</v>
      </c>
      <c r="M21" s="19">
        <v>0.06</v>
      </c>
    </row>
    <row r="22" spans="2:13" x14ac:dyDescent="0.25">
      <c r="B22">
        <f t="shared" si="5"/>
        <v>-0.33450000000000002</v>
      </c>
      <c r="J22" s="19">
        <v>0.2782</v>
      </c>
      <c r="K22" s="19">
        <v>0.27450000000000002</v>
      </c>
      <c r="L22" s="19">
        <v>-0.06</v>
      </c>
      <c r="M22" s="19">
        <v>0</v>
      </c>
    </row>
    <row r="23" spans="2:13" x14ac:dyDescent="0.25">
      <c r="B23">
        <f t="shared" si="5"/>
        <v>-0.27450000000000002</v>
      </c>
    </row>
    <row r="24" spans="2:13" x14ac:dyDescent="0.25">
      <c r="B24">
        <f>B10-$B$12</f>
        <v>0.3382</v>
      </c>
    </row>
    <row r="25" spans="2:13" x14ac:dyDescent="0.25">
      <c r="B25">
        <f t="shared" ref="B25:B27" si="6">B11-$B$12</f>
        <v>0.33450000000000002</v>
      </c>
      <c r="J25" s="19">
        <v>0</v>
      </c>
      <c r="K25" s="19">
        <v>1</v>
      </c>
      <c r="L25" s="19">
        <v>1</v>
      </c>
    </row>
    <row r="26" spans="2:13" x14ac:dyDescent="0.25">
      <c r="B26">
        <f t="shared" si="6"/>
        <v>0</v>
      </c>
      <c r="J26" s="19">
        <v>1</v>
      </c>
      <c r="K26" s="19">
        <v>0</v>
      </c>
    </row>
    <row r="27" spans="2:13" x14ac:dyDescent="0.25">
      <c r="B27">
        <f t="shared" si="6"/>
        <v>0.06</v>
      </c>
      <c r="J27">
        <f>(M17-J21)/(M17-K17)</f>
        <v>0.22761061946902661</v>
      </c>
      <c r="K27">
        <f>(M17-K21)/(M17-K17)</f>
        <v>0.24070796460176991</v>
      </c>
    </row>
    <row r="28" spans="2:13" x14ac:dyDescent="0.25">
      <c r="B28">
        <f>B10-$B$13</f>
        <v>0.2782</v>
      </c>
      <c r="J28">
        <f>(M17-J22)/(M17-K17)</f>
        <v>0.44000000000000006</v>
      </c>
      <c r="K28">
        <f>(M17-K22)/(M17-K17)</f>
        <v>0.4530973451327433</v>
      </c>
    </row>
    <row r="29" spans="2:13" x14ac:dyDescent="0.25">
      <c r="B29">
        <f t="shared" ref="B29:B31" si="7">B11-$B$13</f>
        <v>0.27450000000000002</v>
      </c>
    </row>
    <row r="30" spans="2:13" x14ac:dyDescent="0.25">
      <c r="B30">
        <f t="shared" si="7"/>
        <v>-0.06</v>
      </c>
    </row>
    <row r="31" spans="2:13" x14ac:dyDescent="0.25">
      <c r="B31">
        <f t="shared" si="7"/>
        <v>0</v>
      </c>
    </row>
    <row r="35" spans="2:2" x14ac:dyDescent="0.25">
      <c r="B35">
        <v>0</v>
      </c>
    </row>
    <row r="36" spans="2:2" x14ac:dyDescent="0.25">
      <c r="B36">
        <v>-3.699999999999995E-3</v>
      </c>
    </row>
    <row r="37" spans="2:2" x14ac:dyDescent="0.25">
      <c r="B37">
        <v>-0.3382</v>
      </c>
    </row>
    <row r="38" spans="2:2" x14ac:dyDescent="0.25">
      <c r="B38">
        <v>-0.2782</v>
      </c>
    </row>
    <row r="39" spans="2:2" x14ac:dyDescent="0.25">
      <c r="B39">
        <v>3.699999999999995E-3</v>
      </c>
    </row>
    <row r="40" spans="2:2" x14ac:dyDescent="0.25">
      <c r="B40">
        <v>0</v>
      </c>
    </row>
    <row r="41" spans="2:2" x14ac:dyDescent="0.25">
      <c r="B41">
        <v>-0.33450000000000002</v>
      </c>
    </row>
    <row r="42" spans="2:2" x14ac:dyDescent="0.25">
      <c r="B42">
        <v>-0.27450000000000002</v>
      </c>
    </row>
    <row r="43" spans="2:2" x14ac:dyDescent="0.25">
      <c r="B43">
        <v>0.3382</v>
      </c>
    </row>
    <row r="44" spans="2:2" x14ac:dyDescent="0.25">
      <c r="B44">
        <v>0.33450000000000002</v>
      </c>
    </row>
    <row r="45" spans="2:2" x14ac:dyDescent="0.25">
      <c r="B45">
        <v>0</v>
      </c>
    </row>
    <row r="46" spans="2:2" x14ac:dyDescent="0.25">
      <c r="B46">
        <v>0.06</v>
      </c>
    </row>
    <row r="47" spans="2:2" x14ac:dyDescent="0.25">
      <c r="B47">
        <v>0.2782</v>
      </c>
    </row>
    <row r="48" spans="2:2" x14ac:dyDescent="0.25">
      <c r="B48">
        <v>0.27450000000000002</v>
      </c>
    </row>
    <row r="49" spans="2:2" x14ac:dyDescent="0.25">
      <c r="B49">
        <v>-0.06</v>
      </c>
    </row>
    <row r="50" spans="2:2" x14ac:dyDescent="0.25">
      <c r="B50">
        <v>0</v>
      </c>
    </row>
    <row r="55" spans="2:2" x14ac:dyDescent="0.25">
      <c r="B55">
        <f>ROUND(B35,4)</f>
        <v>0</v>
      </c>
    </row>
    <row r="56" spans="2:2" x14ac:dyDescent="0.25">
      <c r="B56">
        <f t="shared" ref="B56:B70" si="8">ROUND(B36,4)</f>
        <v>-3.7000000000000002E-3</v>
      </c>
    </row>
    <row r="57" spans="2:2" x14ac:dyDescent="0.25">
      <c r="B57">
        <f t="shared" si="8"/>
        <v>-0.3382</v>
      </c>
    </row>
    <row r="58" spans="2:2" x14ac:dyDescent="0.25">
      <c r="B58">
        <f t="shared" si="8"/>
        <v>-0.2782</v>
      </c>
    </row>
    <row r="59" spans="2:2" x14ac:dyDescent="0.25">
      <c r="B59">
        <f t="shared" si="8"/>
        <v>3.7000000000000002E-3</v>
      </c>
    </row>
    <row r="60" spans="2:2" x14ac:dyDescent="0.25">
      <c r="B60">
        <f t="shared" si="8"/>
        <v>0</v>
      </c>
    </row>
    <row r="61" spans="2:2" x14ac:dyDescent="0.25">
      <c r="B61">
        <f t="shared" si="8"/>
        <v>-0.33450000000000002</v>
      </c>
    </row>
    <row r="62" spans="2:2" x14ac:dyDescent="0.25">
      <c r="B62">
        <f t="shared" si="8"/>
        <v>-0.27450000000000002</v>
      </c>
    </row>
    <row r="63" spans="2:2" x14ac:dyDescent="0.25">
      <c r="B63">
        <f t="shared" si="8"/>
        <v>0.3382</v>
      </c>
    </row>
    <row r="64" spans="2:2" x14ac:dyDescent="0.25">
      <c r="B64">
        <f t="shared" si="8"/>
        <v>0.33450000000000002</v>
      </c>
    </row>
    <row r="65" spans="2:2" x14ac:dyDescent="0.25">
      <c r="B65">
        <f t="shared" si="8"/>
        <v>0</v>
      </c>
    </row>
    <row r="66" spans="2:2" x14ac:dyDescent="0.25">
      <c r="B66">
        <f t="shared" si="8"/>
        <v>0.06</v>
      </c>
    </row>
    <row r="67" spans="2:2" x14ac:dyDescent="0.25">
      <c r="B67">
        <f>ROUND(B47,4)</f>
        <v>0.2782</v>
      </c>
    </row>
    <row r="68" spans="2:2" x14ac:dyDescent="0.25">
      <c r="B68">
        <f t="shared" si="8"/>
        <v>0.27450000000000002</v>
      </c>
    </row>
    <row r="69" spans="2:2" x14ac:dyDescent="0.25">
      <c r="B69">
        <f t="shared" si="8"/>
        <v>-0.06</v>
      </c>
    </row>
    <row r="70" spans="2:2" x14ac:dyDescent="0.25">
      <c r="B70">
        <f t="shared" si="8"/>
        <v>0</v>
      </c>
    </row>
    <row r="73" spans="2:2" x14ac:dyDescent="0.25">
      <c r="B73">
        <v>0</v>
      </c>
    </row>
    <row r="74" spans="2:2" x14ac:dyDescent="0.25">
      <c r="B74">
        <v>-3.7000000000000002E-3</v>
      </c>
    </row>
    <row r="75" spans="2:2" x14ac:dyDescent="0.25">
      <c r="B75">
        <v>-0.3382</v>
      </c>
    </row>
    <row r="76" spans="2:2" x14ac:dyDescent="0.25">
      <c r="B76">
        <v>-0.2782</v>
      </c>
    </row>
    <row r="77" spans="2:2" x14ac:dyDescent="0.25">
      <c r="B77">
        <v>3.7000000000000002E-3</v>
      </c>
    </row>
    <row r="78" spans="2:2" x14ac:dyDescent="0.25">
      <c r="B78">
        <v>0</v>
      </c>
    </row>
    <row r="79" spans="2:2" x14ac:dyDescent="0.25">
      <c r="B79">
        <v>-0.33450000000000002</v>
      </c>
    </row>
    <row r="80" spans="2:2" x14ac:dyDescent="0.25">
      <c r="B80">
        <v>-0.27450000000000002</v>
      </c>
    </row>
    <row r="81" spans="2:2" x14ac:dyDescent="0.25">
      <c r="B81">
        <v>0.3382</v>
      </c>
    </row>
    <row r="82" spans="2:2" x14ac:dyDescent="0.25">
      <c r="B82">
        <v>0.33450000000000002</v>
      </c>
    </row>
    <row r="83" spans="2:2" x14ac:dyDescent="0.25">
      <c r="B83">
        <v>0</v>
      </c>
    </row>
    <row r="84" spans="2:2" x14ac:dyDescent="0.25">
      <c r="B84">
        <v>0.06</v>
      </c>
    </row>
    <row r="85" spans="2:2" x14ac:dyDescent="0.25">
      <c r="B85">
        <v>0.2782</v>
      </c>
    </row>
    <row r="86" spans="2:2" x14ac:dyDescent="0.25">
      <c r="B86">
        <v>0.27450000000000002</v>
      </c>
    </row>
    <row r="87" spans="2:2" x14ac:dyDescent="0.25">
      <c r="B87">
        <v>-0.06</v>
      </c>
    </row>
    <row r="88" spans="2:2" x14ac:dyDescent="0.25">
      <c r="B8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0C13-B1B3-46BF-85C6-7ACE957BD729}">
  <dimension ref="A2:AU99"/>
  <sheetViews>
    <sheetView topLeftCell="C83" zoomScale="90" zoomScaleNormal="90" workbookViewId="0">
      <selection activeCell="C81" sqref="C81:E81"/>
    </sheetView>
  </sheetViews>
  <sheetFormatPr defaultRowHeight="15" outlineLevelRow="2" outlineLevelCol="1" x14ac:dyDescent="0.25"/>
  <cols>
    <col min="1" max="1" width="11.7109375" hidden="1" customWidth="1" outlineLevel="1"/>
    <col min="2" max="2" width="8.85546875" hidden="1" customWidth="1" outlineLevel="1"/>
    <col min="3" max="3" width="9.140625" collapsed="1"/>
    <col min="6" max="6" width="9.85546875" hidden="1" customWidth="1" outlineLevel="1"/>
    <col min="7" max="8" width="9.140625" hidden="1" customWidth="1" outlineLevel="1"/>
    <col min="9" max="9" width="9.140625" collapsed="1"/>
    <col min="12" max="14" width="9.140625" hidden="1" customWidth="1" outlineLevel="1"/>
    <col min="15" max="15" width="9.140625" collapsed="1"/>
    <col min="18" max="20" width="9.140625" hidden="1" customWidth="1" outlineLevel="1"/>
    <col min="21" max="21" width="9.140625" collapsed="1"/>
    <col min="24" max="26" width="9.140625" hidden="1" customWidth="1" outlineLevel="1"/>
    <col min="27" max="27" width="9.140625" collapsed="1"/>
    <col min="30" max="32" width="9.140625" hidden="1" customWidth="1" outlineLevel="1"/>
    <col min="33" max="33" width="9.140625" collapsed="1"/>
    <col min="36" max="38" width="9.140625" hidden="1" customWidth="1" outlineLevel="1"/>
    <col min="39" max="39" width="9.140625" collapsed="1"/>
    <col min="42" max="44" width="9.140625" hidden="1" customWidth="1" outlineLevel="1"/>
    <col min="45" max="45" width="9.140625" collapsed="1"/>
  </cols>
  <sheetData>
    <row r="2" spans="1:47" x14ac:dyDescent="0.25">
      <c r="A2" s="89" t="s">
        <v>66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11"/>
    </row>
    <row r="4" spans="1:47" ht="15.75" thickBot="1" x14ac:dyDescent="0.3"/>
    <row r="5" spans="1:47" outlineLevel="1" x14ac:dyDescent="0.25">
      <c r="A5" s="94" t="s">
        <v>43</v>
      </c>
      <c r="B5" s="92"/>
      <c r="C5" s="99" t="s">
        <v>45</v>
      </c>
      <c r="D5" s="99"/>
      <c r="E5" s="99"/>
      <c r="F5" s="23"/>
      <c r="G5" s="92" t="s">
        <v>43</v>
      </c>
      <c r="H5" s="92"/>
      <c r="I5" s="99" t="s">
        <v>46</v>
      </c>
      <c r="J5" s="99"/>
      <c r="K5" s="99"/>
      <c r="L5" s="23"/>
      <c r="M5" s="92" t="s">
        <v>43</v>
      </c>
      <c r="N5" s="92"/>
      <c r="O5" s="99" t="s">
        <v>47</v>
      </c>
      <c r="P5" s="99"/>
      <c r="Q5" s="99"/>
      <c r="R5" s="23"/>
      <c r="S5" s="92" t="s">
        <v>43</v>
      </c>
      <c r="T5" s="92"/>
      <c r="U5" s="99" t="s">
        <v>48</v>
      </c>
      <c r="V5" s="99"/>
      <c r="W5" s="99"/>
      <c r="X5" s="23"/>
      <c r="Y5" s="92" t="s">
        <v>43</v>
      </c>
      <c r="Z5" s="92"/>
      <c r="AA5" s="99" t="s">
        <v>49</v>
      </c>
      <c r="AB5" s="99"/>
      <c r="AC5" s="99"/>
      <c r="AD5" s="12"/>
      <c r="AE5" s="92" t="s">
        <v>43</v>
      </c>
      <c r="AF5" s="92"/>
      <c r="AG5" s="99" t="s">
        <v>67</v>
      </c>
      <c r="AH5" s="99"/>
      <c r="AI5" s="99"/>
      <c r="AJ5" s="23"/>
      <c r="AK5" s="92" t="s">
        <v>43</v>
      </c>
      <c r="AL5" s="92"/>
      <c r="AM5" s="99" t="s">
        <v>68</v>
      </c>
      <c r="AN5" s="99"/>
      <c r="AO5" s="99"/>
      <c r="AP5" s="23"/>
      <c r="AQ5" s="92" t="s">
        <v>43</v>
      </c>
      <c r="AR5" s="92"/>
      <c r="AS5" s="99" t="s">
        <v>69</v>
      </c>
      <c r="AT5" s="99"/>
      <c r="AU5" s="100"/>
    </row>
    <row r="6" spans="1:47" outlineLevel="1" x14ac:dyDescent="0.25">
      <c r="A6" s="13" t="s">
        <v>25</v>
      </c>
      <c r="B6">
        <v>0.24299999999999999</v>
      </c>
      <c r="C6" s="41">
        <v>0.45</v>
      </c>
      <c r="D6" s="41">
        <v>0.9</v>
      </c>
      <c r="E6" s="41">
        <v>0.55000000000000004</v>
      </c>
      <c r="F6" s="10"/>
      <c r="G6" t="s">
        <v>25</v>
      </c>
      <c r="H6">
        <v>0.24299999999999999</v>
      </c>
      <c r="I6" s="41">
        <v>0.95</v>
      </c>
      <c r="J6" s="41">
        <v>0.35</v>
      </c>
      <c r="K6" s="41">
        <v>0.15</v>
      </c>
      <c r="L6" s="10"/>
      <c r="M6" t="s">
        <v>25</v>
      </c>
      <c r="N6">
        <v>0.24299999999999999</v>
      </c>
      <c r="O6" s="41">
        <v>0.45</v>
      </c>
      <c r="P6" s="41">
        <v>0.9</v>
      </c>
      <c r="Q6" s="41">
        <v>0.55000000000000004</v>
      </c>
      <c r="R6" s="10"/>
      <c r="S6" t="s">
        <v>25</v>
      </c>
      <c r="T6">
        <v>0.24299999999999999</v>
      </c>
      <c r="U6" s="41">
        <v>0.9</v>
      </c>
      <c r="V6" s="41">
        <v>0.42</v>
      </c>
      <c r="W6" s="41">
        <v>0.25</v>
      </c>
      <c r="X6" s="10"/>
      <c r="Y6" t="s">
        <v>25</v>
      </c>
      <c r="Z6">
        <v>0.24299999999999999</v>
      </c>
      <c r="AA6" s="41">
        <v>0.4</v>
      </c>
      <c r="AB6" s="41">
        <v>0.55000000000000004</v>
      </c>
      <c r="AC6" s="41">
        <v>0.7</v>
      </c>
      <c r="AE6" t="s">
        <v>25</v>
      </c>
      <c r="AF6">
        <v>0.24299999999999999</v>
      </c>
      <c r="AG6" s="41">
        <v>0.8</v>
      </c>
      <c r="AH6" s="41">
        <v>0.55000000000000004</v>
      </c>
      <c r="AI6" s="41">
        <v>0.35</v>
      </c>
      <c r="AJ6" s="10"/>
      <c r="AK6" t="s">
        <v>25</v>
      </c>
      <c r="AL6">
        <v>0.24299999999999999</v>
      </c>
      <c r="AM6" s="41">
        <v>0.7</v>
      </c>
      <c r="AN6" s="41">
        <v>0.74</v>
      </c>
      <c r="AO6" s="41">
        <v>0.4</v>
      </c>
      <c r="AP6" s="10"/>
      <c r="AQ6" t="s">
        <v>25</v>
      </c>
      <c r="AR6">
        <v>0.24299999999999999</v>
      </c>
      <c r="AS6" s="41">
        <v>0.7</v>
      </c>
      <c r="AT6" s="41">
        <v>0.74</v>
      </c>
      <c r="AU6" s="42">
        <v>0.4</v>
      </c>
    </row>
    <row r="7" spans="1:47" outlineLevel="1" x14ac:dyDescent="0.25">
      <c r="A7" s="13" t="s">
        <v>26</v>
      </c>
      <c r="B7">
        <v>0.28320000000000001</v>
      </c>
      <c r="C7" s="41">
        <v>0.9</v>
      </c>
      <c r="D7" s="41">
        <v>0.42</v>
      </c>
      <c r="E7" s="41">
        <v>0.25</v>
      </c>
      <c r="F7" s="10"/>
      <c r="G7" t="s">
        <v>26</v>
      </c>
      <c r="H7">
        <v>0.28320000000000001</v>
      </c>
      <c r="I7" s="41">
        <v>0.55000000000000004</v>
      </c>
      <c r="J7" s="41">
        <v>0.85</v>
      </c>
      <c r="K7" s="41">
        <v>0.45</v>
      </c>
      <c r="L7" s="10"/>
      <c r="M7" t="s">
        <v>26</v>
      </c>
      <c r="N7">
        <v>0.28320000000000001</v>
      </c>
      <c r="O7" s="41">
        <v>0.45</v>
      </c>
      <c r="P7" s="41">
        <v>0.9</v>
      </c>
      <c r="Q7" s="41">
        <v>0.55000000000000004</v>
      </c>
      <c r="R7" s="10"/>
      <c r="S7" t="s">
        <v>26</v>
      </c>
      <c r="T7">
        <v>0.28320000000000001</v>
      </c>
      <c r="U7" s="41">
        <v>0.4</v>
      </c>
      <c r="V7" s="41">
        <v>0.55000000000000004</v>
      </c>
      <c r="W7" s="41">
        <v>0.7</v>
      </c>
      <c r="X7" s="10"/>
      <c r="Y7" t="s">
        <v>26</v>
      </c>
      <c r="Z7">
        <v>0.28320000000000001</v>
      </c>
      <c r="AA7" s="41">
        <v>0.35</v>
      </c>
      <c r="AB7" s="41">
        <v>0.65</v>
      </c>
      <c r="AC7" s="41">
        <v>0.8</v>
      </c>
      <c r="AE7" t="s">
        <v>26</v>
      </c>
      <c r="AF7">
        <v>0.28320000000000001</v>
      </c>
      <c r="AG7" s="41">
        <v>0.55000000000000004</v>
      </c>
      <c r="AH7" s="41">
        <v>0.85</v>
      </c>
      <c r="AI7" s="41">
        <v>0.45</v>
      </c>
      <c r="AJ7" s="10"/>
      <c r="AK7" t="s">
        <v>26</v>
      </c>
      <c r="AL7">
        <v>0.28320000000000001</v>
      </c>
      <c r="AM7" s="41">
        <v>0.35</v>
      </c>
      <c r="AN7" s="41">
        <v>0.65</v>
      </c>
      <c r="AO7" s="41">
        <v>0.8</v>
      </c>
      <c r="AP7" s="10"/>
      <c r="AQ7" t="s">
        <v>26</v>
      </c>
      <c r="AR7">
        <v>0.28320000000000001</v>
      </c>
      <c r="AS7" s="41">
        <v>0.55000000000000004</v>
      </c>
      <c r="AT7" s="41">
        <v>0.85</v>
      </c>
      <c r="AU7" s="42">
        <v>0.45</v>
      </c>
    </row>
    <row r="8" spans="1:47" outlineLevel="1" x14ac:dyDescent="0.25">
      <c r="A8" s="13" t="s">
        <v>27</v>
      </c>
      <c r="B8">
        <v>0.2661</v>
      </c>
      <c r="C8" s="41">
        <v>0.45</v>
      </c>
      <c r="D8" s="41">
        <v>0.9</v>
      </c>
      <c r="E8" s="41">
        <v>0.55000000000000004</v>
      </c>
      <c r="F8" s="10"/>
      <c r="G8" t="s">
        <v>27</v>
      </c>
      <c r="H8">
        <v>0.2661</v>
      </c>
      <c r="I8" s="41">
        <v>0.4</v>
      </c>
      <c r="J8" s="41">
        <v>0.55000000000000004</v>
      </c>
      <c r="K8" s="41">
        <v>0.7</v>
      </c>
      <c r="L8" s="10"/>
      <c r="M8" t="s">
        <v>27</v>
      </c>
      <c r="N8">
        <v>0.2661</v>
      </c>
      <c r="O8" s="41">
        <v>0.4</v>
      </c>
      <c r="P8" s="41">
        <v>0.55000000000000004</v>
      </c>
      <c r="Q8" s="41">
        <v>0.7</v>
      </c>
      <c r="R8" s="10"/>
      <c r="S8" t="s">
        <v>27</v>
      </c>
      <c r="T8">
        <v>0.2661</v>
      </c>
      <c r="U8" s="41">
        <v>0.35</v>
      </c>
      <c r="V8" s="41">
        <v>0.65</v>
      </c>
      <c r="W8" s="41">
        <v>0.8</v>
      </c>
      <c r="X8" s="10"/>
      <c r="Y8" t="s">
        <v>27</v>
      </c>
      <c r="Z8">
        <v>0.2661</v>
      </c>
      <c r="AA8" s="41">
        <v>0.35</v>
      </c>
      <c r="AB8" s="41">
        <v>0.65</v>
      </c>
      <c r="AC8" s="41">
        <v>0.8</v>
      </c>
      <c r="AE8" t="s">
        <v>27</v>
      </c>
      <c r="AF8">
        <v>0.2661</v>
      </c>
      <c r="AG8" s="41">
        <v>0.25</v>
      </c>
      <c r="AH8" s="41">
        <v>0.45</v>
      </c>
      <c r="AI8" s="41">
        <v>0.9</v>
      </c>
      <c r="AJ8" s="10"/>
      <c r="AK8" t="s">
        <v>27</v>
      </c>
      <c r="AL8">
        <v>0.2661</v>
      </c>
      <c r="AM8" s="41">
        <v>0.15</v>
      </c>
      <c r="AN8" s="41">
        <v>0.35</v>
      </c>
      <c r="AO8" s="41">
        <v>0.95</v>
      </c>
      <c r="AP8" s="10"/>
      <c r="AQ8" t="s">
        <v>27</v>
      </c>
      <c r="AR8">
        <v>0.2661</v>
      </c>
      <c r="AS8" s="41">
        <v>0.35</v>
      </c>
      <c r="AT8" s="41">
        <v>0.65</v>
      </c>
      <c r="AU8" s="42">
        <v>0.8</v>
      </c>
    </row>
    <row r="9" spans="1:47" outlineLevel="1" x14ac:dyDescent="0.25">
      <c r="A9" s="13" t="s">
        <v>28</v>
      </c>
      <c r="B9">
        <v>0.2077</v>
      </c>
      <c r="C9" s="41">
        <v>0.7</v>
      </c>
      <c r="D9" s="41">
        <v>0.74</v>
      </c>
      <c r="E9" s="41">
        <v>0.4</v>
      </c>
      <c r="F9" s="10"/>
      <c r="G9" t="s">
        <v>28</v>
      </c>
      <c r="H9">
        <v>0.2077</v>
      </c>
      <c r="I9" s="41">
        <v>0.45</v>
      </c>
      <c r="J9" s="41">
        <v>0.9</v>
      </c>
      <c r="K9" s="41">
        <v>0.55000000000000004</v>
      </c>
      <c r="L9" s="10"/>
      <c r="M9" t="s">
        <v>28</v>
      </c>
      <c r="N9">
        <v>0.2077</v>
      </c>
      <c r="O9" s="41">
        <v>0.4</v>
      </c>
      <c r="P9" s="41">
        <v>0.55000000000000004</v>
      </c>
      <c r="Q9" s="41">
        <v>0.7</v>
      </c>
      <c r="R9" s="10"/>
      <c r="S9" t="s">
        <v>28</v>
      </c>
      <c r="T9">
        <v>0.2077</v>
      </c>
      <c r="U9" s="41">
        <v>0.35</v>
      </c>
      <c r="V9" s="41">
        <v>0.65</v>
      </c>
      <c r="W9" s="41">
        <v>0.8</v>
      </c>
      <c r="X9" s="10"/>
      <c r="Y9" t="s">
        <v>28</v>
      </c>
      <c r="Z9">
        <v>0.2077</v>
      </c>
      <c r="AA9" s="41">
        <v>0.25</v>
      </c>
      <c r="AB9" s="41">
        <v>0.45</v>
      </c>
      <c r="AC9" s="41">
        <v>0.9</v>
      </c>
      <c r="AE9" t="s">
        <v>28</v>
      </c>
      <c r="AF9">
        <v>0.2077</v>
      </c>
      <c r="AG9" s="41">
        <v>0.35</v>
      </c>
      <c r="AH9" s="41">
        <v>0.65</v>
      </c>
      <c r="AI9" s="41">
        <v>0.8</v>
      </c>
      <c r="AJ9" s="10"/>
      <c r="AK9" t="s">
        <v>28</v>
      </c>
      <c r="AL9">
        <v>0.2077</v>
      </c>
      <c r="AM9" s="41">
        <v>0.35</v>
      </c>
      <c r="AN9" s="41">
        <v>0.65</v>
      </c>
      <c r="AO9" s="41">
        <v>0.8</v>
      </c>
      <c r="AP9" s="10"/>
      <c r="AQ9" t="s">
        <v>28</v>
      </c>
      <c r="AR9">
        <v>0.2077</v>
      </c>
      <c r="AS9" s="41">
        <v>0.8</v>
      </c>
      <c r="AT9" s="41">
        <v>0.55000000000000004</v>
      </c>
      <c r="AU9" s="42">
        <v>0.35</v>
      </c>
    </row>
    <row r="10" spans="1:47" x14ac:dyDescent="0.25">
      <c r="A10" s="13" t="s">
        <v>44</v>
      </c>
      <c r="C10" s="31">
        <f>SQRT(1-(((1-(C6)^2)^B6)*((1-(C7)^2)^B7)*((1-(C8)^2)^B8)*((1-(C9)^2)^B9)))</f>
        <v>0.71822969650326973</v>
      </c>
      <c r="D10" s="32">
        <f>((D6^B6)*(D7^B7)*(D8^B8)*(D9^B9))</f>
        <v>0.6963835261714294</v>
      </c>
      <c r="E10" s="33">
        <f>((E6^B6)*(E7^B7)*(E8^B8)*(E9^B9))</f>
        <v>0.41177797720548914</v>
      </c>
      <c r="F10" s="10"/>
      <c r="G10" t="s">
        <v>44</v>
      </c>
      <c r="I10" s="31">
        <f>SQRT(1-(((1-(I6)^2)^H6)*((1-(I7)^2)^H7)*((1-(I8)^2)^H8)*((1-(I9)^2)^H9)))</f>
        <v>0.72996304717673277</v>
      </c>
      <c r="J10" s="32">
        <f>((J6^H6)*(J7^H7)*(J8^H8)*(J9^H9))</f>
        <v>0.61748534590461879</v>
      </c>
      <c r="K10" s="33">
        <f>((K6^H6)*(K7^H7)*(K8^H8)*(K9^H9))</f>
        <v>0.40404885361783444</v>
      </c>
      <c r="L10" s="10"/>
      <c r="M10" t="s">
        <v>44</v>
      </c>
      <c r="O10" s="31">
        <f>SQRT(1-(((1-(O6)^2)^N6)*((1-(O7)^2)^N7)*((1-(O8)^2)^N8)*((1-(O9)^2)^N9)))</f>
        <v>0.42736217407902555</v>
      </c>
      <c r="P10" s="32">
        <f>((P6^N6)*(P7^N7)*(P8^N8)*(P9^N9))</f>
        <v>0.71269916626774299</v>
      </c>
      <c r="Q10" s="33">
        <f>((Q6^N6)*(Q7^N7)*(Q8^N8)*(Q9^N9))</f>
        <v>0.61657554939326453</v>
      </c>
      <c r="R10" s="10"/>
      <c r="S10" t="s">
        <v>44</v>
      </c>
      <c r="U10" s="27">
        <f>SQRT(1-(((1-(U6)^2)^T6)*((1-(U7)^2)^T7)*((1-(U8)^2)^T8)*((1-(U9)^2)^T9)))</f>
        <v>0.63435774215237839</v>
      </c>
      <c r="V10" s="27">
        <f>((V6^T6)*(V7^T7)*(V8^T8)*(V9^T9))</f>
        <v>0.55754334922639193</v>
      </c>
      <c r="W10" s="27">
        <f>((W6^T6)*(W7^T7)*(W8^T8)*(W9^T9))</f>
        <v>0.58065105957231489</v>
      </c>
      <c r="X10" s="10"/>
      <c r="Y10" t="s">
        <v>44</v>
      </c>
      <c r="AA10" s="27">
        <f>SQRT(1-(((1-(AA6)^2)^Z6)*((1-(AA7)^2)^Z7)*((1-(AA8)^2)^Z8)*((1-(AA9)^2)^Z9)))</f>
        <v>0.34605524212173483</v>
      </c>
      <c r="AB10" s="27">
        <f>((AB6^Z6)*(AB7^Z7)*(AB8^Z8)*(AB9^Z9))</f>
        <v>0.57824738768806272</v>
      </c>
      <c r="AC10" s="27">
        <f>((AC6^Z6)*(AC7^Z7)*(AC8^Z8)*(AC9^Z9))</f>
        <v>0.79363776022388344</v>
      </c>
      <c r="AE10" t="s">
        <v>44</v>
      </c>
      <c r="AG10" s="27">
        <f>SQRT(1-(((1-(AG6)^2)^AF6)*((1-(AG7)^2)^AF7)*((1-(AG8)^2)^AF8)*((1-(AG9)^2)^AF9)))</f>
        <v>0.5710085121744336</v>
      </c>
      <c r="AH10" s="27">
        <f>((AH6^AF6)*(AH7^AF7)*(AH8^AF8)*(AH9^AF9))</f>
        <v>0.61063476673905848</v>
      </c>
      <c r="AI10" s="27">
        <f>((AI6^AF6)*(AI7^AF7)*(AI8^AF8)*(AI9^AF9))</f>
        <v>0.57371214118538072</v>
      </c>
      <c r="AJ10" s="10"/>
      <c r="AK10" t="s">
        <v>44</v>
      </c>
      <c r="AM10" s="27">
        <f>SQRT(1-(((1-(AM6)^2)^AL6)*((1-(AM7)^2)^AL7)*((1-(AM8)^2)^AL8)*((1-(AM9)^2)^AL9)))</f>
        <v>0.45662055913576016</v>
      </c>
      <c r="AN10" s="27">
        <f>((AN6^AL6)*(AN7^AL7)*(AN8^AL8)*(AN9^AL9))</f>
        <v>0.56893019166427727</v>
      </c>
      <c r="AO10" s="27">
        <f>((AO6^AL6)*(AO7^AL7)*(AO8^AL8)*(AO9^AL9))</f>
        <v>0.70761935586626346</v>
      </c>
      <c r="AP10" s="10"/>
      <c r="AQ10" t="s">
        <v>44</v>
      </c>
      <c r="AS10" s="27">
        <f>SQRT(1-(((1-(AS6)^2)^AR6)*((1-(AS7)^2)^AR7)*((1-(AS8)^2)^AR8)*((1-(AS9)^2)^AR9)))</f>
        <v>0.63330382061914858</v>
      </c>
      <c r="AT10" s="27">
        <f>((AT6^AR6)*(AT7^AR7)*(AT8^AR8)*(AT9^AR9))</f>
        <v>0.69907588709695667</v>
      </c>
      <c r="AU10" s="29">
        <f>((AU6^AR6)*(AU7^AR7)*(AU8^AR8)*(AU9^AR9))</f>
        <v>0.48373280442539845</v>
      </c>
    </row>
    <row r="11" spans="1:47" hidden="1" outlineLevel="1" x14ac:dyDescent="0.25">
      <c r="A11" s="25"/>
      <c r="B11" s="10"/>
      <c r="C11" s="34"/>
      <c r="D11" s="10"/>
      <c r="E11" s="35"/>
      <c r="F11" s="10"/>
      <c r="G11" s="10"/>
      <c r="H11" s="10"/>
      <c r="I11" s="34"/>
      <c r="J11" s="10"/>
      <c r="K11" s="35"/>
      <c r="L11" s="10"/>
      <c r="M11" s="10"/>
      <c r="N11" s="10"/>
      <c r="O11" s="34"/>
      <c r="P11" s="10"/>
      <c r="Q11" s="35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26"/>
    </row>
    <row r="12" spans="1:47" hidden="1" outlineLevel="1" x14ac:dyDescent="0.25">
      <c r="A12" s="91" t="s">
        <v>43</v>
      </c>
      <c r="B12" s="89"/>
      <c r="C12" s="95" t="s">
        <v>50</v>
      </c>
      <c r="D12" s="96"/>
      <c r="E12" s="97"/>
      <c r="F12" s="10"/>
      <c r="G12" s="89" t="s">
        <v>43</v>
      </c>
      <c r="H12" s="89"/>
      <c r="I12" s="95" t="s">
        <v>51</v>
      </c>
      <c r="J12" s="96"/>
      <c r="K12" s="97"/>
      <c r="L12" s="10"/>
      <c r="M12" s="89" t="s">
        <v>43</v>
      </c>
      <c r="N12" s="89"/>
      <c r="O12" s="95" t="s">
        <v>52</v>
      </c>
      <c r="P12" s="96"/>
      <c r="Q12" s="97"/>
      <c r="R12" s="10"/>
      <c r="S12" s="89" t="s">
        <v>43</v>
      </c>
      <c r="T12" s="89"/>
      <c r="U12" s="96" t="s">
        <v>53</v>
      </c>
      <c r="V12" s="96"/>
      <c r="W12" s="96"/>
      <c r="X12" s="10"/>
      <c r="Y12" s="89" t="s">
        <v>43</v>
      </c>
      <c r="Z12" s="89"/>
      <c r="AA12" s="96" t="s">
        <v>54</v>
      </c>
      <c r="AB12" s="96"/>
      <c r="AC12" s="96"/>
      <c r="AD12" s="11"/>
      <c r="AE12" s="89" t="s">
        <v>43</v>
      </c>
      <c r="AF12" s="89"/>
      <c r="AG12" s="96" t="s">
        <v>70</v>
      </c>
      <c r="AH12" s="96"/>
      <c r="AI12" s="96"/>
      <c r="AJ12" s="10"/>
      <c r="AK12" s="89" t="s">
        <v>43</v>
      </c>
      <c r="AL12" s="89"/>
      <c r="AM12" s="96" t="s">
        <v>71</v>
      </c>
      <c r="AN12" s="96"/>
      <c r="AO12" s="96"/>
      <c r="AP12" s="10"/>
      <c r="AQ12" s="89" t="s">
        <v>43</v>
      </c>
      <c r="AR12" s="89"/>
      <c r="AS12" s="96" t="s">
        <v>72</v>
      </c>
      <c r="AT12" s="96"/>
      <c r="AU12" s="98"/>
    </row>
    <row r="13" spans="1:47" hidden="1" outlineLevel="1" x14ac:dyDescent="0.25">
      <c r="A13" s="13" t="s">
        <v>25</v>
      </c>
      <c r="B13">
        <v>0.24299999999999999</v>
      </c>
      <c r="C13" s="43">
        <v>0.25</v>
      </c>
      <c r="D13" s="41">
        <v>0.45</v>
      </c>
      <c r="E13" s="44">
        <v>0.9</v>
      </c>
      <c r="F13" s="10"/>
      <c r="G13" t="s">
        <v>25</v>
      </c>
      <c r="H13">
        <v>0.24299999999999999</v>
      </c>
      <c r="I13" s="43">
        <v>0.15</v>
      </c>
      <c r="J13" s="41">
        <v>0.35</v>
      </c>
      <c r="K13" s="44">
        <v>0.95</v>
      </c>
      <c r="L13" s="10"/>
      <c r="M13" t="s">
        <v>25</v>
      </c>
      <c r="N13">
        <v>0.24299999999999999</v>
      </c>
      <c r="O13" s="43">
        <v>0.45</v>
      </c>
      <c r="P13" s="41">
        <v>0.9</v>
      </c>
      <c r="Q13" s="44">
        <v>0.55000000000000004</v>
      </c>
      <c r="R13" s="10"/>
      <c r="S13" t="s">
        <v>25</v>
      </c>
      <c r="T13">
        <v>0.24299999999999999</v>
      </c>
      <c r="U13" s="41">
        <v>0.55000000000000004</v>
      </c>
      <c r="V13" s="41">
        <v>0.85</v>
      </c>
      <c r="W13" s="41">
        <v>0.45</v>
      </c>
      <c r="X13" s="10"/>
      <c r="Y13" t="s">
        <v>25</v>
      </c>
      <c r="Z13">
        <v>0.24299999999999999</v>
      </c>
      <c r="AA13" s="41">
        <v>0.15</v>
      </c>
      <c r="AB13" s="41">
        <v>0.35</v>
      </c>
      <c r="AC13" s="41">
        <v>0.95</v>
      </c>
      <c r="AE13" t="s">
        <v>25</v>
      </c>
      <c r="AF13">
        <v>0.24299999999999999</v>
      </c>
      <c r="AG13" s="41">
        <v>0.4</v>
      </c>
      <c r="AH13" s="41">
        <v>0.55000000000000004</v>
      </c>
      <c r="AI13" s="41">
        <v>0.7</v>
      </c>
      <c r="AJ13" s="10"/>
      <c r="AK13" t="s">
        <v>25</v>
      </c>
      <c r="AL13">
        <v>0.24299999999999999</v>
      </c>
      <c r="AM13" s="41">
        <v>0.7</v>
      </c>
      <c r="AN13" s="41">
        <v>0.74</v>
      </c>
      <c r="AO13" s="41">
        <v>0.4</v>
      </c>
      <c r="AP13" s="10"/>
      <c r="AQ13" t="s">
        <v>25</v>
      </c>
      <c r="AR13">
        <v>0.24299999999999999</v>
      </c>
      <c r="AS13" s="41">
        <v>0.8</v>
      </c>
      <c r="AT13" s="41">
        <v>0.55000000000000004</v>
      </c>
      <c r="AU13" s="42">
        <v>0.35</v>
      </c>
    </row>
    <row r="14" spans="1:47" hidden="1" outlineLevel="1" x14ac:dyDescent="0.25">
      <c r="A14" s="13" t="s">
        <v>26</v>
      </c>
      <c r="B14">
        <v>0.28320000000000001</v>
      </c>
      <c r="C14" s="43">
        <v>0.8</v>
      </c>
      <c r="D14" s="41">
        <v>0.55000000000000004</v>
      </c>
      <c r="E14" s="44">
        <v>0.35</v>
      </c>
      <c r="F14" s="10"/>
      <c r="G14" t="s">
        <v>26</v>
      </c>
      <c r="H14">
        <v>0.28320000000000001</v>
      </c>
      <c r="I14" s="43">
        <v>0.9</v>
      </c>
      <c r="J14" s="41">
        <v>0.42</v>
      </c>
      <c r="K14" s="44">
        <v>0.25</v>
      </c>
      <c r="L14" s="10"/>
      <c r="M14" t="s">
        <v>26</v>
      </c>
      <c r="N14">
        <v>0.28320000000000001</v>
      </c>
      <c r="O14" s="43">
        <v>0.95</v>
      </c>
      <c r="P14" s="41">
        <v>0.35</v>
      </c>
      <c r="Q14" s="44">
        <v>0.15</v>
      </c>
      <c r="R14" s="10"/>
      <c r="S14" t="s">
        <v>26</v>
      </c>
      <c r="T14">
        <v>0.28320000000000001</v>
      </c>
      <c r="U14" s="41">
        <v>0.9</v>
      </c>
      <c r="V14" s="41">
        <v>0.42</v>
      </c>
      <c r="W14" s="41">
        <v>0.25</v>
      </c>
      <c r="X14" s="10"/>
      <c r="Y14" t="s">
        <v>26</v>
      </c>
      <c r="Z14">
        <v>0.28320000000000001</v>
      </c>
      <c r="AA14" s="41">
        <v>0.8</v>
      </c>
      <c r="AB14" s="41">
        <v>0.55000000000000004</v>
      </c>
      <c r="AC14" s="41">
        <v>0.35</v>
      </c>
      <c r="AE14" t="s">
        <v>26</v>
      </c>
      <c r="AF14">
        <v>0.28320000000000001</v>
      </c>
      <c r="AG14" s="41">
        <v>0.9</v>
      </c>
      <c r="AH14" s="41">
        <v>0.42</v>
      </c>
      <c r="AI14" s="41">
        <v>0.25</v>
      </c>
      <c r="AJ14" s="10"/>
      <c r="AK14" t="s">
        <v>26</v>
      </c>
      <c r="AL14">
        <v>0.28320000000000001</v>
      </c>
      <c r="AM14" s="41">
        <v>0.9</v>
      </c>
      <c r="AN14" s="41">
        <v>0.42</v>
      </c>
      <c r="AO14" s="41">
        <v>0.25</v>
      </c>
      <c r="AP14" s="10"/>
      <c r="AQ14" t="s">
        <v>26</v>
      </c>
      <c r="AR14">
        <v>0.28320000000000001</v>
      </c>
      <c r="AS14" s="41">
        <v>0.8</v>
      </c>
      <c r="AT14" s="41">
        <v>0.55000000000000004</v>
      </c>
      <c r="AU14" s="42">
        <v>0.35</v>
      </c>
    </row>
    <row r="15" spans="1:47" hidden="1" outlineLevel="1" x14ac:dyDescent="0.25">
      <c r="A15" s="13" t="s">
        <v>27</v>
      </c>
      <c r="B15">
        <v>0.2661</v>
      </c>
      <c r="C15" s="43">
        <v>0.45</v>
      </c>
      <c r="D15" s="41">
        <v>0.9</v>
      </c>
      <c r="E15" s="44">
        <v>0.55000000000000004</v>
      </c>
      <c r="F15" s="10"/>
      <c r="G15" t="s">
        <v>27</v>
      </c>
      <c r="H15">
        <v>0.2661</v>
      </c>
      <c r="I15" s="43">
        <v>0.55000000000000004</v>
      </c>
      <c r="J15" s="41">
        <v>0.85</v>
      </c>
      <c r="K15" s="44">
        <v>0.45</v>
      </c>
      <c r="L15" s="10"/>
      <c r="M15" t="s">
        <v>27</v>
      </c>
      <c r="N15">
        <v>0.2661</v>
      </c>
      <c r="O15" s="43">
        <v>0.45</v>
      </c>
      <c r="P15" s="41">
        <v>0.9</v>
      </c>
      <c r="Q15" s="44">
        <v>0.55000000000000004</v>
      </c>
      <c r="R15" s="10"/>
      <c r="S15" t="s">
        <v>27</v>
      </c>
      <c r="T15">
        <v>0.2661</v>
      </c>
      <c r="U15" s="41">
        <v>0.15</v>
      </c>
      <c r="V15" s="41">
        <v>0.35</v>
      </c>
      <c r="W15" s="41">
        <v>0.95</v>
      </c>
      <c r="X15" s="10"/>
      <c r="Y15" t="s">
        <v>27</v>
      </c>
      <c r="Z15">
        <v>0.2661</v>
      </c>
      <c r="AA15" s="41">
        <v>0.25</v>
      </c>
      <c r="AB15" s="41">
        <v>0.45</v>
      </c>
      <c r="AC15" s="41">
        <v>0.9</v>
      </c>
      <c r="AE15" t="s">
        <v>27</v>
      </c>
      <c r="AF15">
        <v>0.2661</v>
      </c>
      <c r="AG15" s="41">
        <v>0.55000000000000004</v>
      </c>
      <c r="AH15" s="41">
        <v>0.85</v>
      </c>
      <c r="AI15" s="41">
        <v>0.45</v>
      </c>
      <c r="AJ15" s="10"/>
      <c r="AK15" t="s">
        <v>27</v>
      </c>
      <c r="AL15">
        <v>0.2661</v>
      </c>
      <c r="AM15" s="41">
        <v>0.45</v>
      </c>
      <c r="AN15" s="41">
        <v>0.9</v>
      </c>
      <c r="AO15" s="41">
        <v>0.55000000000000004</v>
      </c>
      <c r="AP15" s="10"/>
      <c r="AQ15" t="s">
        <v>27</v>
      </c>
      <c r="AR15">
        <v>0.2661</v>
      </c>
      <c r="AS15" s="41">
        <v>0.7</v>
      </c>
      <c r="AT15" s="41">
        <v>0.74</v>
      </c>
      <c r="AU15" s="42">
        <v>0.4</v>
      </c>
    </row>
    <row r="16" spans="1:47" hidden="1" outlineLevel="1" x14ac:dyDescent="0.25">
      <c r="A16" s="13" t="s">
        <v>28</v>
      </c>
      <c r="B16">
        <v>0.2077</v>
      </c>
      <c r="C16" s="43">
        <v>0.55000000000000004</v>
      </c>
      <c r="D16" s="41">
        <v>0.85</v>
      </c>
      <c r="E16" s="44">
        <v>0.45</v>
      </c>
      <c r="F16" s="10"/>
      <c r="G16" t="s">
        <v>28</v>
      </c>
      <c r="H16">
        <v>0.2077</v>
      </c>
      <c r="I16" s="43">
        <v>0.7</v>
      </c>
      <c r="J16" s="41">
        <v>0.74</v>
      </c>
      <c r="K16" s="44">
        <v>0.4</v>
      </c>
      <c r="L16" s="10"/>
      <c r="M16" t="s">
        <v>28</v>
      </c>
      <c r="N16">
        <v>0.2077</v>
      </c>
      <c r="O16" s="43">
        <v>0.45</v>
      </c>
      <c r="P16" s="41">
        <v>0.9</v>
      </c>
      <c r="Q16" s="44">
        <v>0.55000000000000004</v>
      </c>
      <c r="R16" s="10"/>
      <c r="S16" t="s">
        <v>28</v>
      </c>
      <c r="T16">
        <v>0.2077</v>
      </c>
      <c r="U16" s="41">
        <v>0.4</v>
      </c>
      <c r="V16" s="41">
        <v>0.55000000000000004</v>
      </c>
      <c r="W16" s="41">
        <v>0.7</v>
      </c>
      <c r="X16" s="10"/>
      <c r="Y16" t="s">
        <v>28</v>
      </c>
      <c r="Z16">
        <v>0.2077</v>
      </c>
      <c r="AA16" s="41">
        <v>0.35</v>
      </c>
      <c r="AB16" s="41">
        <v>0.65</v>
      </c>
      <c r="AC16" s="41">
        <v>0.8</v>
      </c>
      <c r="AE16" t="s">
        <v>28</v>
      </c>
      <c r="AF16">
        <v>0.2077</v>
      </c>
      <c r="AG16" s="41">
        <v>0.7</v>
      </c>
      <c r="AH16" s="41">
        <v>0.74</v>
      </c>
      <c r="AI16" s="41">
        <v>0.4</v>
      </c>
      <c r="AJ16" s="10"/>
      <c r="AK16" t="s">
        <v>28</v>
      </c>
      <c r="AL16">
        <v>0.2077</v>
      </c>
      <c r="AM16" s="41">
        <v>0.4</v>
      </c>
      <c r="AN16" s="41">
        <v>0.55000000000000004</v>
      </c>
      <c r="AO16" s="41">
        <v>0.7</v>
      </c>
      <c r="AP16" s="10"/>
      <c r="AQ16" t="s">
        <v>28</v>
      </c>
      <c r="AR16">
        <v>0.2077</v>
      </c>
      <c r="AS16" s="41">
        <v>0.4</v>
      </c>
      <c r="AT16" s="41">
        <v>0.55000000000000004</v>
      </c>
      <c r="AU16" s="42">
        <v>0.7</v>
      </c>
    </row>
    <row r="17" spans="1:47" collapsed="1" x14ac:dyDescent="0.25">
      <c r="A17" s="13" t="s">
        <v>44</v>
      </c>
      <c r="C17" s="36">
        <f>SQRT(1-(((1-(C13)^2)^B13)*((1-(C14)^2)^B14)*((1-(C15)^2)^B15)*((1-(C16)^2)^B16)))</f>
        <v>0.59665401174185684</v>
      </c>
      <c r="D17" s="27">
        <f>((D13^B13)*(D14^B14)*(D15^B15)*(D16^B16))</f>
        <v>0.65368060154115148</v>
      </c>
      <c r="E17" s="37">
        <f>((E13^B13)*(E14^B14)*(E15^B15)*(E16^B16))</f>
        <v>0.52317110627776364</v>
      </c>
      <c r="F17" s="10"/>
      <c r="G17" t="s">
        <v>44</v>
      </c>
      <c r="I17" s="36">
        <f>SQRT(1-(((1-(I13)^2)^H13)*((1-(I14)^2)^H14)*((1-(I15)^2)^H15)*((1-(I16)^2)^H16)))</f>
        <v>0.71353002065584903</v>
      </c>
      <c r="J17" s="27">
        <f>((J13^H13)*(J14^H14)*(J15^H15)*(J16^H16))</f>
        <v>0.5452184429133824</v>
      </c>
      <c r="K17" s="37">
        <f>((K13^H13)*(K14^H14)*(K15^H15)*(K16^H16))</f>
        <v>0.44581138652437169</v>
      </c>
      <c r="L17" s="10"/>
      <c r="M17" t="s">
        <v>44</v>
      </c>
      <c r="O17" s="36">
        <f>SQRT(1-(((1-(O13)^2)^N13)*((1-(O14)^2)^N14)*((1-(O15)^2)^N15)*((1-(O16)^2)^N16)))</f>
        <v>0.74847088549356133</v>
      </c>
      <c r="P17" s="27">
        <f>((P13^N13)*(P14^N14)*(P15^N15)*(P16^N16))</f>
        <v>0.68878090851055185</v>
      </c>
      <c r="Q17" s="37">
        <f>((Q13^N13)*(Q14^N14)*(Q15^N15)*(Q16^N16))</f>
        <v>0.38068084127201296</v>
      </c>
      <c r="R17" s="10"/>
      <c r="S17" t="s">
        <v>44</v>
      </c>
      <c r="U17" s="27">
        <f>SQRT(1-(((1-(U13)^2)^T13)*((1-(U14)^2)^T14)*((1-(U15)^2)^T15)*((1-(U16)^2)^T16)))</f>
        <v>0.67175839295689121</v>
      </c>
      <c r="V17" s="27">
        <f>((V13^T13)*(V14^T14)*(V15^T15)*(V16^T16))</f>
        <v>0.50223021287442737</v>
      </c>
      <c r="W17" s="27">
        <f>((W13^T13)*(W14^T14)*(W15^T15)*(W16^T16))</f>
        <v>0.50947909135235248</v>
      </c>
      <c r="X17" s="10"/>
      <c r="Y17" t="s">
        <v>44</v>
      </c>
      <c r="AA17" s="27">
        <f>SQRT(1-(((1-(AA13)^2)^Z13)*((1-(AA14)^2)^Z14)*((1-(AA15)^2)^Z15)*((1-(AA16)^2)^Z16)))</f>
        <v>0.53632431407235093</v>
      </c>
      <c r="AB17" s="27">
        <f>((AB13^Z13)*(AB14^Z14)*(AB15^Z15)*(AB16^Z16))</f>
        <v>0.48366114818865596</v>
      </c>
      <c r="AC17" s="27">
        <f>((AC13^Z13)*(AC14^Z14)*(AC15^Z15)*(AC16^Z16))</f>
        <v>0.68102433107592175</v>
      </c>
      <c r="AE17" t="s">
        <v>44</v>
      </c>
      <c r="AG17" s="27">
        <f>SQRT(1-(((1-(AG13)^2)^AF13)*((1-(AG14)^2)^AF14)*((1-(AG15)^2)^AF15)*((1-(AG16)^2)^AF16)))</f>
        <v>0.72586423617759388</v>
      </c>
      <c r="AH17" s="27">
        <f>((AH13^AF13)*(AH14^AF14)*(AH15^AF15)*(AH16^AF16))</f>
        <v>0.60851338695641821</v>
      </c>
      <c r="AI17" s="27">
        <f>((AI13^AF13)*(AI14^AF14)*(AI15^AF15)*(AI16^AF16))</f>
        <v>0.41392641710297007</v>
      </c>
      <c r="AJ17" s="10"/>
      <c r="AK17" t="s">
        <v>44</v>
      </c>
      <c r="AM17" s="27">
        <f>SQRT(1-(((1-(AM13)^2)^AL13)*((1-(AM14)^2)^AL14)*((1-(AM15)^2)^AL15)*((1-(AM16)^2)^AL16)))</f>
        <v>0.71990800298778279</v>
      </c>
      <c r="AN17" s="27">
        <f>((AN13^AL13)*(AN14^AL14)*(AN15^AL15)*(AN16^AL16))</f>
        <v>0.62434518866943989</v>
      </c>
      <c r="AO17" s="27">
        <f>((AO13^AL13)*(AO14^AL14)*(AO15^AL15)*(AO16^AL16))</f>
        <v>0.42808948734566926</v>
      </c>
      <c r="AP17" s="10"/>
      <c r="AQ17" t="s">
        <v>44</v>
      </c>
      <c r="AS17" s="27">
        <f>SQRT(1-(((1-(AS13)^2)^AR13)*((1-(AS14)^2)^AR14)*((1-(AS15)^2)^AR15)*((1-(AS16)^2)^AR16)))</f>
        <v>0.72735166899478731</v>
      </c>
      <c r="AT17" s="27">
        <f>((AT13^AR13)*(AT14^AR14)*(AT15^AR15)*(AT16^AR16))</f>
        <v>0.59518878381101392</v>
      </c>
      <c r="AU17" s="29">
        <f>((AU13^AR13)*(AU14^AR14)*(AU15^AR15)*(AU16^AR16))</f>
        <v>0.41881635381717425</v>
      </c>
    </row>
    <row r="18" spans="1:47" hidden="1" outlineLevel="1" x14ac:dyDescent="0.25">
      <c r="A18" s="25"/>
      <c r="B18" s="10"/>
      <c r="C18" s="34"/>
      <c r="D18" s="10"/>
      <c r="E18" s="35"/>
      <c r="F18" s="10"/>
      <c r="G18" s="10"/>
      <c r="H18" s="10"/>
      <c r="I18" s="34"/>
      <c r="J18" s="10"/>
      <c r="K18" s="35"/>
      <c r="L18" s="10"/>
      <c r="M18" s="10"/>
      <c r="N18" s="10"/>
      <c r="O18" s="34"/>
      <c r="P18" s="10"/>
      <c r="Q18" s="35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26"/>
    </row>
    <row r="19" spans="1:47" hidden="1" outlineLevel="2" x14ac:dyDescent="0.25">
      <c r="A19" s="91" t="s">
        <v>43</v>
      </c>
      <c r="B19" s="89"/>
      <c r="C19" s="95" t="s">
        <v>55</v>
      </c>
      <c r="D19" s="96"/>
      <c r="E19" s="97"/>
      <c r="F19" s="10"/>
      <c r="G19" s="89" t="s">
        <v>43</v>
      </c>
      <c r="H19" s="89"/>
      <c r="I19" s="95" t="s">
        <v>56</v>
      </c>
      <c r="J19" s="96"/>
      <c r="K19" s="97"/>
      <c r="L19" s="10"/>
      <c r="M19" s="89" t="s">
        <v>43</v>
      </c>
      <c r="N19" s="89"/>
      <c r="O19" s="95" t="s">
        <v>57</v>
      </c>
      <c r="P19" s="96"/>
      <c r="Q19" s="97"/>
      <c r="R19" s="10"/>
      <c r="S19" s="89" t="s">
        <v>43</v>
      </c>
      <c r="T19" s="89"/>
      <c r="U19" s="96" t="s">
        <v>58</v>
      </c>
      <c r="V19" s="96"/>
      <c r="W19" s="96"/>
      <c r="X19" s="10"/>
      <c r="Y19" s="89" t="s">
        <v>43</v>
      </c>
      <c r="Z19" s="89"/>
      <c r="AA19" s="96" t="s">
        <v>59</v>
      </c>
      <c r="AB19" s="96"/>
      <c r="AC19" s="96"/>
      <c r="AD19" s="11"/>
      <c r="AE19" s="89" t="s">
        <v>43</v>
      </c>
      <c r="AF19" s="89"/>
      <c r="AG19" s="96" t="s">
        <v>73</v>
      </c>
      <c r="AH19" s="96"/>
      <c r="AI19" s="96"/>
      <c r="AJ19" s="10"/>
      <c r="AK19" s="89" t="s">
        <v>43</v>
      </c>
      <c r="AL19" s="89"/>
      <c r="AM19" s="96" t="s">
        <v>74</v>
      </c>
      <c r="AN19" s="96"/>
      <c r="AO19" s="96"/>
      <c r="AP19" s="10"/>
      <c r="AQ19" s="89" t="s">
        <v>43</v>
      </c>
      <c r="AR19" s="89"/>
      <c r="AS19" s="96" t="s">
        <v>75</v>
      </c>
      <c r="AT19" s="96"/>
      <c r="AU19" s="98"/>
    </row>
    <row r="20" spans="1:47" hidden="1" outlineLevel="2" x14ac:dyDescent="0.25">
      <c r="A20" s="13" t="s">
        <v>25</v>
      </c>
      <c r="B20">
        <v>0.24299999999999999</v>
      </c>
      <c r="C20" s="43">
        <v>0.35</v>
      </c>
      <c r="D20" s="41">
        <v>0.65</v>
      </c>
      <c r="E20" s="44">
        <v>0.8</v>
      </c>
      <c r="F20" s="10"/>
      <c r="G20" t="s">
        <v>25</v>
      </c>
      <c r="H20">
        <v>0.24299999999999999</v>
      </c>
      <c r="I20" s="43">
        <v>0.55000000000000004</v>
      </c>
      <c r="J20" s="41">
        <v>0.85</v>
      </c>
      <c r="K20" s="44">
        <v>0.45</v>
      </c>
      <c r="L20" s="10"/>
      <c r="M20" t="s">
        <v>25</v>
      </c>
      <c r="N20">
        <v>0.24299999999999999</v>
      </c>
      <c r="O20" s="43">
        <v>0.9</v>
      </c>
      <c r="P20" s="41">
        <v>0.42</v>
      </c>
      <c r="Q20" s="44">
        <v>0.25</v>
      </c>
      <c r="R20" s="10"/>
      <c r="S20" t="s">
        <v>25</v>
      </c>
      <c r="T20">
        <v>0.24299999999999999</v>
      </c>
      <c r="U20" s="41">
        <v>0.7</v>
      </c>
      <c r="V20" s="41">
        <v>0.74</v>
      </c>
      <c r="W20" s="41">
        <v>0.4</v>
      </c>
      <c r="X20" s="10"/>
      <c r="Y20" t="s">
        <v>25</v>
      </c>
      <c r="Z20">
        <v>0.24299999999999999</v>
      </c>
      <c r="AA20" s="41">
        <v>0.45</v>
      </c>
      <c r="AB20" s="41">
        <v>0.9</v>
      </c>
      <c r="AC20" s="41">
        <v>0.55000000000000004</v>
      </c>
      <c r="AE20" t="s">
        <v>25</v>
      </c>
      <c r="AF20">
        <v>0.24299999999999999</v>
      </c>
      <c r="AG20" s="41">
        <v>0.9</v>
      </c>
      <c r="AH20" s="41">
        <v>0.42</v>
      </c>
      <c r="AI20" s="41">
        <v>0.25</v>
      </c>
      <c r="AJ20" s="10"/>
      <c r="AK20" t="s">
        <v>25</v>
      </c>
      <c r="AL20">
        <v>0.24299999999999999</v>
      </c>
      <c r="AM20" s="41">
        <v>0.15</v>
      </c>
      <c r="AN20" s="41">
        <v>0.35</v>
      </c>
      <c r="AO20" s="41">
        <v>0.95</v>
      </c>
      <c r="AP20" s="10"/>
      <c r="AQ20" t="s">
        <v>25</v>
      </c>
      <c r="AR20">
        <v>0.24299999999999999</v>
      </c>
      <c r="AS20" s="41">
        <v>0.9</v>
      </c>
      <c r="AT20" s="41">
        <v>0.42</v>
      </c>
      <c r="AU20" s="42">
        <v>0.25</v>
      </c>
    </row>
    <row r="21" spans="1:47" hidden="1" outlineLevel="2" x14ac:dyDescent="0.25">
      <c r="A21" s="13" t="s">
        <v>26</v>
      </c>
      <c r="B21">
        <v>0.28320000000000001</v>
      </c>
      <c r="C21" s="43">
        <v>0.55000000000000004</v>
      </c>
      <c r="D21" s="41">
        <v>0.85</v>
      </c>
      <c r="E21" s="44">
        <v>0.45</v>
      </c>
      <c r="F21" s="10"/>
      <c r="G21" t="s">
        <v>26</v>
      </c>
      <c r="H21">
        <v>0.28320000000000001</v>
      </c>
      <c r="I21" s="43">
        <v>0.45</v>
      </c>
      <c r="J21" s="41">
        <v>0.9</v>
      </c>
      <c r="K21" s="44">
        <v>0.55000000000000004</v>
      </c>
      <c r="L21" s="10"/>
      <c r="M21" t="s">
        <v>26</v>
      </c>
      <c r="N21">
        <v>0.28320000000000001</v>
      </c>
      <c r="O21" s="43">
        <v>0.45</v>
      </c>
      <c r="P21" s="41">
        <v>0.9</v>
      </c>
      <c r="Q21" s="44">
        <v>0.55000000000000004</v>
      </c>
      <c r="R21" s="10"/>
      <c r="S21" t="s">
        <v>26</v>
      </c>
      <c r="T21">
        <v>0.28320000000000001</v>
      </c>
      <c r="U21" s="41">
        <v>0.4</v>
      </c>
      <c r="V21" s="41">
        <v>0.55000000000000004</v>
      </c>
      <c r="W21" s="41">
        <v>0.7</v>
      </c>
      <c r="X21" s="10"/>
      <c r="Y21" t="s">
        <v>26</v>
      </c>
      <c r="Z21">
        <v>0.28320000000000001</v>
      </c>
      <c r="AA21" s="41">
        <v>0.4</v>
      </c>
      <c r="AB21" s="41">
        <v>0.55000000000000004</v>
      </c>
      <c r="AC21" s="41">
        <v>0.7</v>
      </c>
      <c r="AE21" t="s">
        <v>26</v>
      </c>
      <c r="AF21">
        <v>0.28320000000000001</v>
      </c>
      <c r="AG21" s="41">
        <v>0.7</v>
      </c>
      <c r="AH21" s="41">
        <v>0.74</v>
      </c>
      <c r="AI21" s="41">
        <v>0.4</v>
      </c>
      <c r="AJ21" s="10"/>
      <c r="AK21" t="s">
        <v>26</v>
      </c>
      <c r="AL21">
        <v>0.28320000000000001</v>
      </c>
      <c r="AM21" s="41">
        <v>0.7</v>
      </c>
      <c r="AN21" s="41">
        <v>0.74</v>
      </c>
      <c r="AO21" s="41">
        <v>0.4</v>
      </c>
      <c r="AP21" s="10"/>
      <c r="AQ21" t="s">
        <v>26</v>
      </c>
      <c r="AR21">
        <v>0.28320000000000001</v>
      </c>
      <c r="AS21" s="41">
        <v>0.35</v>
      </c>
      <c r="AT21" s="41">
        <v>0.65</v>
      </c>
      <c r="AU21" s="42">
        <v>0.8</v>
      </c>
    </row>
    <row r="22" spans="1:47" hidden="1" outlineLevel="2" x14ac:dyDescent="0.25">
      <c r="A22" s="13" t="s">
        <v>27</v>
      </c>
      <c r="B22">
        <v>0.2661</v>
      </c>
      <c r="C22" s="43">
        <v>0.8</v>
      </c>
      <c r="D22" s="41">
        <v>0.55000000000000004</v>
      </c>
      <c r="E22" s="44">
        <v>0.35</v>
      </c>
      <c r="F22" s="10"/>
      <c r="G22" t="s">
        <v>27</v>
      </c>
      <c r="H22">
        <v>0.2661</v>
      </c>
      <c r="I22" s="43">
        <v>0.8</v>
      </c>
      <c r="J22" s="41">
        <v>0.55000000000000004</v>
      </c>
      <c r="K22" s="44">
        <v>0.35</v>
      </c>
      <c r="L22" s="10"/>
      <c r="M22" t="s">
        <v>27</v>
      </c>
      <c r="N22">
        <v>0.2661</v>
      </c>
      <c r="O22" s="43">
        <v>0.7</v>
      </c>
      <c r="P22" s="41">
        <v>0.74</v>
      </c>
      <c r="Q22" s="44">
        <v>0.4</v>
      </c>
      <c r="R22" s="10"/>
      <c r="S22" t="s">
        <v>27</v>
      </c>
      <c r="T22">
        <v>0.2661</v>
      </c>
      <c r="U22" s="41">
        <v>0.55000000000000004</v>
      </c>
      <c r="V22" s="41">
        <v>0.85</v>
      </c>
      <c r="W22" s="41">
        <v>0.45</v>
      </c>
      <c r="X22" s="10"/>
      <c r="Y22" t="s">
        <v>27</v>
      </c>
      <c r="Z22">
        <v>0.2661</v>
      </c>
      <c r="AA22" s="41">
        <v>0.7</v>
      </c>
      <c r="AB22" s="41">
        <v>0.74</v>
      </c>
      <c r="AC22" s="41">
        <v>0.4</v>
      </c>
      <c r="AE22" t="s">
        <v>27</v>
      </c>
      <c r="AF22">
        <v>0.2661</v>
      </c>
      <c r="AG22" s="41">
        <v>0.45</v>
      </c>
      <c r="AH22" s="41">
        <v>0.9</v>
      </c>
      <c r="AI22" s="41">
        <v>0.55000000000000004</v>
      </c>
      <c r="AJ22" s="10"/>
      <c r="AK22" t="s">
        <v>27</v>
      </c>
      <c r="AL22">
        <v>0.2661</v>
      </c>
      <c r="AM22" s="41">
        <v>0.35</v>
      </c>
      <c r="AN22" s="41">
        <v>0.65</v>
      </c>
      <c r="AO22" s="41">
        <v>0.8</v>
      </c>
      <c r="AP22" s="10"/>
      <c r="AQ22" t="s">
        <v>27</v>
      </c>
      <c r="AR22">
        <v>0.2661</v>
      </c>
      <c r="AS22" s="41">
        <v>0.35</v>
      </c>
      <c r="AT22" s="41">
        <v>0.65</v>
      </c>
      <c r="AU22" s="42">
        <v>0.8</v>
      </c>
    </row>
    <row r="23" spans="1:47" hidden="1" outlineLevel="2" x14ac:dyDescent="0.25">
      <c r="A23" s="13" t="s">
        <v>28</v>
      </c>
      <c r="B23">
        <v>0.2077</v>
      </c>
      <c r="C23" s="43">
        <v>0.7</v>
      </c>
      <c r="D23" s="41">
        <v>0.74</v>
      </c>
      <c r="E23" s="44">
        <v>0.4</v>
      </c>
      <c r="F23" s="10"/>
      <c r="G23" t="s">
        <v>28</v>
      </c>
      <c r="H23">
        <v>0.2077</v>
      </c>
      <c r="I23" s="43">
        <v>0.55000000000000004</v>
      </c>
      <c r="J23" s="41">
        <v>0.85</v>
      </c>
      <c r="K23" s="44">
        <v>0.45</v>
      </c>
      <c r="L23" s="10"/>
      <c r="M23" t="s">
        <v>28</v>
      </c>
      <c r="N23">
        <v>0.2077</v>
      </c>
      <c r="O23" s="43">
        <v>0.45</v>
      </c>
      <c r="P23" s="41">
        <v>0.9</v>
      </c>
      <c r="Q23" s="44">
        <v>0.55000000000000004</v>
      </c>
      <c r="R23" s="10"/>
      <c r="S23" t="s">
        <v>28</v>
      </c>
      <c r="T23">
        <v>0.2077</v>
      </c>
      <c r="U23" s="41">
        <v>0.35</v>
      </c>
      <c r="V23" s="41">
        <v>0.65</v>
      </c>
      <c r="W23" s="41">
        <v>0.8</v>
      </c>
      <c r="X23" s="10"/>
      <c r="Y23" t="s">
        <v>28</v>
      </c>
      <c r="Z23">
        <v>0.2077</v>
      </c>
      <c r="AA23" s="41">
        <v>0.25</v>
      </c>
      <c r="AB23" s="41">
        <v>0.45</v>
      </c>
      <c r="AC23" s="41">
        <v>0.9</v>
      </c>
      <c r="AE23" t="s">
        <v>28</v>
      </c>
      <c r="AF23">
        <v>0.2077</v>
      </c>
      <c r="AG23" s="41">
        <v>0.15</v>
      </c>
      <c r="AH23" s="41">
        <v>0.35</v>
      </c>
      <c r="AI23" s="41">
        <v>0.95</v>
      </c>
      <c r="AJ23" s="10"/>
      <c r="AK23" t="s">
        <v>28</v>
      </c>
      <c r="AL23">
        <v>0.2077</v>
      </c>
      <c r="AM23" s="41">
        <v>0.4</v>
      </c>
      <c r="AN23" s="41">
        <v>0.55000000000000004</v>
      </c>
      <c r="AO23" s="41">
        <v>0.7</v>
      </c>
      <c r="AP23" s="10"/>
      <c r="AQ23" t="s">
        <v>28</v>
      </c>
      <c r="AR23">
        <v>0.2077</v>
      </c>
      <c r="AS23" s="41">
        <v>0.9</v>
      </c>
      <c r="AT23" s="41">
        <v>0.42</v>
      </c>
      <c r="AU23" s="42">
        <v>0.25</v>
      </c>
    </row>
    <row r="24" spans="1:47" collapsed="1" x14ac:dyDescent="0.25">
      <c r="A24" s="13" t="s">
        <v>44</v>
      </c>
      <c r="C24" s="36">
        <f>SQRT(1-(((1-(C20)^2)^B20)*((1-(C21)^2)^B21)*((1-(C22)^2)^B22)*((1-(C23)^2)^B23)))</f>
        <v>0.64841675204949933</v>
      </c>
      <c r="D24" s="27">
        <f>((D20^B20)*(D21^B21)*(D22^B22)*(D23^B23))</f>
        <v>0.68912709422357177</v>
      </c>
      <c r="E24" s="37">
        <f>((E20^B20)*(E21^B21)*(E22^B22)*(E23^B23))</f>
        <v>0.47235119405007098</v>
      </c>
      <c r="F24" s="10"/>
      <c r="G24" t="s">
        <v>44</v>
      </c>
      <c r="I24" s="36">
        <f>SQRT(1-(((1-(I20)^2)^H20)*((1-(I21)^2)^H21)*((1-(I22)^2)^H22)*((1-(I23)^2)^H23)))</f>
        <v>0.62645207001288816</v>
      </c>
      <c r="J24" s="27">
        <f>((J20^H20)*(J21^H21)*(J22^H22)*(J23^H23))</f>
        <v>0.76938036762758089</v>
      </c>
      <c r="K24" s="37">
        <f>((K20^H20)*(K21^H21)*(K22^H22)*(K23^H23))</f>
        <v>0.4455024535725387</v>
      </c>
      <c r="L24" s="10"/>
      <c r="M24" t="s">
        <v>44</v>
      </c>
      <c r="O24" s="36">
        <f>SQRT(1-(((1-(O20)^2)^N20)*((1-(O21)^2)^N21)*((1-(O22)^2)^N22)*((1-(O23)^2)^N23)))</f>
        <v>0.70734182012473079</v>
      </c>
      <c r="P24" s="27">
        <f>((P20^N20)*(P21^N21)*(P22^N22)*(P23^N23))</f>
        <v>0.70988792020181901</v>
      </c>
      <c r="Q24" s="37">
        <f>((Q20^N20)*(Q21^N21)*(Q22^N22)*(Q23^N23))</f>
        <v>0.41720704184503288</v>
      </c>
      <c r="R24" s="10"/>
      <c r="S24" t="s">
        <v>44</v>
      </c>
      <c r="U24" s="27">
        <f>SQRT(1-(((1-(U20)^2)^T20)*((1-(U21)^2)^T21)*((1-(U22)^2)^T22)*((1-(U23)^2)^T23)))</f>
        <v>0.53420996971338841</v>
      </c>
      <c r="V24" s="27">
        <f>((V20^T20)*(V21^T21)*(V22^T22)*(V23^T23))</f>
        <v>0.68715466920631918</v>
      </c>
      <c r="W24" s="27">
        <f>((W20^T20)*(W21^T21)*(W22^T22)*(W23^T23))</f>
        <v>0.5585010359807635</v>
      </c>
      <c r="X24" s="10"/>
      <c r="Y24" t="s">
        <v>44</v>
      </c>
      <c r="AA24" s="27">
        <f>SQRT(1-(((1-(AA20)^2)^Z20)*((1-(AA21)^2)^Z21)*((1-(AA22)^2)^Z22)*((1-(AA23)^2)^Z23)))</f>
        <v>0.50686645695447363</v>
      </c>
      <c r="AB24" s="27">
        <f>((AB20^Z20)*(AB21^Z21)*(AB22^Z22)*(AB23^Z23))</f>
        <v>0.64346724303697256</v>
      </c>
      <c r="AC24" s="27">
        <f>((AC20^Z20)*(AC21^Z21)*(AC22^Z22)*(AC23^Z23))</f>
        <v>0.5992999360889073</v>
      </c>
      <c r="AE24" t="s">
        <v>44</v>
      </c>
      <c r="AG24" s="27">
        <f>SQRT(1-(((1-(AG20)^2)^AF20)*((1-(AG21)^2)^AF21)*((1-(AG22)^2)^AF22)*((1-(AG23)^2)^AF23)))</f>
        <v>0.69478645437606634</v>
      </c>
      <c r="AH24" s="27">
        <f>((AH20^AF20)*(AH21^AF21)*(AH22^AF22)*(AH23^AF23))</f>
        <v>0.58149082302540156</v>
      </c>
      <c r="AI24" s="27">
        <f>((AI20^AF20)*(AI21^AF21)*(AI22^AF22)*(AI23^AF23))</f>
        <v>0.46482182997484744</v>
      </c>
      <c r="AJ24" s="10"/>
      <c r="AK24" t="s">
        <v>44</v>
      </c>
      <c r="AM24" s="27">
        <f>SQRT(1-(((1-(AM20)^2)^AL20)*((1-(AM21)^2)^AL21)*((1-(AM22)^2)^AL22)*((1-(AM23)^2)^AL23)))</f>
        <v>0.48423758487806262</v>
      </c>
      <c r="AN24" s="27">
        <f>((AN20^AL20)*(AN21^AL21)*(AN22^AL22)*(AN23^AL23))</f>
        <v>0.56035665303322657</v>
      </c>
      <c r="AO24" s="27">
        <f>((AO20^AL20)*(AO21^AL21)*(AO22^AL22)*(AO23^AL23))</f>
        <v>0.66669827904577839</v>
      </c>
      <c r="AP24" s="10"/>
      <c r="AQ24" t="s">
        <v>44</v>
      </c>
      <c r="AS24" s="27">
        <f>SQRT(1-(((1-(AS20)^2)^AR20)*((1-(AS21)^2)^AR21)*((1-(AS22)^2)^AR22)*((1-(AS23)^2)^AR23)))</f>
        <v>0.74812340996257864</v>
      </c>
      <c r="AT24" s="27">
        <f>((AT20^AR20)*(AT21^AR21)*(AT22^AR22)*(AT23^AR23))</f>
        <v>0.53386538400826189</v>
      </c>
      <c r="AU24" s="29">
        <f>((AU20^AR20)*(AU21^AR21)*(AU22^AR22)*(AU23^AR23))</f>
        <v>0.47360784956767121</v>
      </c>
    </row>
    <row r="25" spans="1:47" hidden="1" outlineLevel="1" x14ac:dyDescent="0.25">
      <c r="A25" s="25"/>
      <c r="B25" s="10"/>
      <c r="C25" s="34"/>
      <c r="D25" s="10"/>
      <c r="E25" s="35"/>
      <c r="F25" s="10"/>
      <c r="G25" s="10"/>
      <c r="H25" s="10"/>
      <c r="I25" s="34"/>
      <c r="J25" s="10"/>
      <c r="K25" s="35"/>
      <c r="L25" s="10"/>
      <c r="M25" s="10"/>
      <c r="N25" s="10"/>
      <c r="O25" s="34"/>
      <c r="P25" s="10"/>
      <c r="Q25" s="35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26"/>
    </row>
    <row r="26" spans="1:47" hidden="1" outlineLevel="1" x14ac:dyDescent="0.25">
      <c r="A26" s="91" t="s">
        <v>43</v>
      </c>
      <c r="B26" s="89"/>
      <c r="C26" s="95" t="s">
        <v>60</v>
      </c>
      <c r="D26" s="96"/>
      <c r="E26" s="97"/>
      <c r="F26" s="10"/>
      <c r="G26" s="89" t="s">
        <v>43</v>
      </c>
      <c r="H26" s="89"/>
      <c r="I26" s="95" t="s">
        <v>61</v>
      </c>
      <c r="J26" s="96"/>
      <c r="K26" s="97"/>
      <c r="L26" s="10"/>
      <c r="M26" s="89" t="s">
        <v>43</v>
      </c>
      <c r="N26" s="89"/>
      <c r="O26" s="95" t="s">
        <v>62</v>
      </c>
      <c r="P26" s="96"/>
      <c r="Q26" s="97"/>
      <c r="R26" s="10"/>
      <c r="S26" s="89" t="s">
        <v>43</v>
      </c>
      <c r="T26" s="89"/>
      <c r="U26" s="96" t="s">
        <v>63</v>
      </c>
      <c r="V26" s="96"/>
      <c r="W26" s="96"/>
      <c r="X26" s="10"/>
      <c r="Y26" s="89" t="s">
        <v>43</v>
      </c>
      <c r="Z26" s="89"/>
      <c r="AA26" s="96" t="s">
        <v>64</v>
      </c>
      <c r="AB26" s="96"/>
      <c r="AC26" s="96"/>
      <c r="AD26" s="11"/>
      <c r="AE26" s="89" t="s">
        <v>43</v>
      </c>
      <c r="AF26" s="89"/>
      <c r="AG26" s="96" t="s">
        <v>77</v>
      </c>
      <c r="AH26" s="96"/>
      <c r="AI26" s="96"/>
      <c r="AJ26" s="10"/>
      <c r="AK26" s="89" t="s">
        <v>43</v>
      </c>
      <c r="AL26" s="89"/>
      <c r="AM26" s="96" t="s">
        <v>78</v>
      </c>
      <c r="AN26" s="96"/>
      <c r="AO26" s="96"/>
      <c r="AP26" s="10"/>
      <c r="AQ26" s="89" t="s">
        <v>43</v>
      </c>
      <c r="AR26" s="89"/>
      <c r="AS26" s="96" t="s">
        <v>79</v>
      </c>
      <c r="AT26" s="96"/>
      <c r="AU26" s="98"/>
    </row>
    <row r="27" spans="1:47" hidden="1" outlineLevel="1" x14ac:dyDescent="0.25">
      <c r="A27" s="13" t="s">
        <v>25</v>
      </c>
      <c r="B27">
        <v>0.24299999999999999</v>
      </c>
      <c r="C27" s="43">
        <v>0.7</v>
      </c>
      <c r="D27" s="41">
        <v>0.74</v>
      </c>
      <c r="E27" s="44">
        <v>0.4</v>
      </c>
      <c r="F27" s="10"/>
      <c r="G27" t="s">
        <v>25</v>
      </c>
      <c r="H27">
        <v>0.24299999999999999</v>
      </c>
      <c r="I27" s="43">
        <v>0.55000000000000004</v>
      </c>
      <c r="J27" s="41">
        <v>0.85</v>
      </c>
      <c r="K27" s="44">
        <v>0.45</v>
      </c>
      <c r="L27" s="10"/>
      <c r="M27" t="s">
        <v>25</v>
      </c>
      <c r="N27">
        <v>0.24299999999999999</v>
      </c>
      <c r="O27" s="43">
        <v>0.8</v>
      </c>
      <c r="P27" s="41">
        <v>0.55000000000000004</v>
      </c>
      <c r="Q27" s="44">
        <v>0.35</v>
      </c>
      <c r="R27" s="10"/>
      <c r="S27" t="s">
        <v>25</v>
      </c>
      <c r="T27">
        <v>0.24299999999999999</v>
      </c>
      <c r="U27" s="41">
        <v>0.99</v>
      </c>
      <c r="V27" s="41">
        <v>0.05</v>
      </c>
      <c r="W27" s="41">
        <v>0.01</v>
      </c>
      <c r="X27" s="10"/>
      <c r="Y27" t="s">
        <v>25</v>
      </c>
      <c r="Z27">
        <v>0.24299999999999999</v>
      </c>
      <c r="AA27" s="41">
        <v>0.95</v>
      </c>
      <c r="AB27" s="41">
        <v>0.35</v>
      </c>
      <c r="AC27" s="41">
        <v>0.15</v>
      </c>
      <c r="AE27" t="s">
        <v>25</v>
      </c>
      <c r="AF27">
        <v>0.24299999999999999</v>
      </c>
      <c r="AG27" s="41">
        <v>0.4</v>
      </c>
      <c r="AH27" s="41">
        <v>0.55000000000000004</v>
      </c>
      <c r="AI27" s="41">
        <v>0.7</v>
      </c>
      <c r="AJ27" s="10"/>
      <c r="AK27" t="s">
        <v>25</v>
      </c>
      <c r="AL27">
        <v>0.24299999999999999</v>
      </c>
      <c r="AM27" s="41">
        <v>0.45</v>
      </c>
      <c r="AN27" s="41">
        <v>0.9</v>
      </c>
      <c r="AO27" s="41">
        <v>0.55000000000000004</v>
      </c>
      <c r="AP27" s="10"/>
      <c r="AQ27" t="s">
        <v>25</v>
      </c>
      <c r="AR27">
        <v>0.24299999999999999</v>
      </c>
      <c r="AS27" s="41">
        <v>0.8</v>
      </c>
      <c r="AT27" s="41">
        <v>0.55000000000000004</v>
      </c>
      <c r="AU27" s="42">
        <v>0.35</v>
      </c>
    </row>
    <row r="28" spans="1:47" hidden="1" outlineLevel="1" x14ac:dyDescent="0.25">
      <c r="A28" s="13" t="s">
        <v>26</v>
      </c>
      <c r="B28">
        <v>0.28320000000000001</v>
      </c>
      <c r="C28" s="43">
        <v>0.8</v>
      </c>
      <c r="D28" s="41">
        <v>0.55000000000000004</v>
      </c>
      <c r="E28" s="44">
        <v>0.35</v>
      </c>
      <c r="F28" s="10"/>
      <c r="G28" t="s">
        <v>26</v>
      </c>
      <c r="H28">
        <v>0.28320000000000001</v>
      </c>
      <c r="I28" s="43">
        <v>0.9</v>
      </c>
      <c r="J28" s="41">
        <v>0.42</v>
      </c>
      <c r="K28" s="44">
        <v>0.25</v>
      </c>
      <c r="L28" s="10"/>
      <c r="M28" t="s">
        <v>26</v>
      </c>
      <c r="N28">
        <v>0.28320000000000001</v>
      </c>
      <c r="O28" s="43">
        <v>0.95</v>
      </c>
      <c r="P28" s="41">
        <v>0.35</v>
      </c>
      <c r="Q28" s="44">
        <v>0.15</v>
      </c>
      <c r="R28" s="10"/>
      <c r="S28" t="s">
        <v>26</v>
      </c>
      <c r="T28">
        <v>0.28320000000000001</v>
      </c>
      <c r="U28" s="41">
        <v>0.95</v>
      </c>
      <c r="V28" s="41">
        <v>0.35</v>
      </c>
      <c r="W28" s="41">
        <v>0.15</v>
      </c>
      <c r="X28" s="10"/>
      <c r="Y28" t="s">
        <v>26</v>
      </c>
      <c r="Z28">
        <v>0.28320000000000001</v>
      </c>
      <c r="AA28" s="41">
        <v>0.99</v>
      </c>
      <c r="AB28" s="41">
        <v>0.05</v>
      </c>
      <c r="AC28" s="41">
        <v>0.01</v>
      </c>
      <c r="AE28" t="s">
        <v>26</v>
      </c>
      <c r="AF28">
        <v>0.28320000000000001</v>
      </c>
      <c r="AG28" s="41">
        <v>0.99</v>
      </c>
      <c r="AH28" s="41">
        <v>0.05</v>
      </c>
      <c r="AI28" s="41">
        <v>0.01</v>
      </c>
      <c r="AJ28" s="10"/>
      <c r="AK28" t="s">
        <v>26</v>
      </c>
      <c r="AL28">
        <v>0.28320000000000001</v>
      </c>
      <c r="AM28" s="41">
        <v>0.9</v>
      </c>
      <c r="AN28" s="41">
        <v>0.42</v>
      </c>
      <c r="AO28" s="41">
        <v>0.25</v>
      </c>
      <c r="AP28" s="10"/>
      <c r="AQ28" t="s">
        <v>26</v>
      </c>
      <c r="AR28">
        <v>0.28320000000000001</v>
      </c>
      <c r="AS28" s="41">
        <v>0.55000000000000004</v>
      </c>
      <c r="AT28" s="41">
        <v>0.85</v>
      </c>
      <c r="AU28" s="42">
        <v>0.45</v>
      </c>
    </row>
    <row r="29" spans="1:47" hidden="1" outlineLevel="1" x14ac:dyDescent="0.25">
      <c r="A29" s="13" t="s">
        <v>27</v>
      </c>
      <c r="B29">
        <v>0.2661</v>
      </c>
      <c r="C29" s="43">
        <v>0.99</v>
      </c>
      <c r="D29" s="41">
        <v>0.05</v>
      </c>
      <c r="E29" s="44">
        <v>0.01</v>
      </c>
      <c r="F29" s="10"/>
      <c r="G29" t="s">
        <v>27</v>
      </c>
      <c r="H29">
        <v>0.2661</v>
      </c>
      <c r="I29" s="43">
        <v>0.9</v>
      </c>
      <c r="J29" s="41">
        <v>0.42</v>
      </c>
      <c r="K29" s="44">
        <v>0.25</v>
      </c>
      <c r="L29" s="10"/>
      <c r="M29" t="s">
        <v>27</v>
      </c>
      <c r="N29">
        <v>0.2661</v>
      </c>
      <c r="O29" s="43">
        <v>0.95</v>
      </c>
      <c r="P29" s="41">
        <v>0.35</v>
      </c>
      <c r="Q29" s="44">
        <v>0.15</v>
      </c>
      <c r="R29" s="10"/>
      <c r="S29" t="s">
        <v>27</v>
      </c>
      <c r="T29">
        <v>0.2661</v>
      </c>
      <c r="U29" s="41">
        <v>0.7</v>
      </c>
      <c r="V29" s="41">
        <v>0.74</v>
      </c>
      <c r="W29" s="41">
        <v>0.4</v>
      </c>
      <c r="X29" s="10"/>
      <c r="Y29" t="s">
        <v>27</v>
      </c>
      <c r="Z29">
        <v>0.2661</v>
      </c>
      <c r="AA29" s="41">
        <v>0.7</v>
      </c>
      <c r="AB29" s="41">
        <v>0.74</v>
      </c>
      <c r="AC29" s="41">
        <v>0.4</v>
      </c>
      <c r="AE29" t="s">
        <v>27</v>
      </c>
      <c r="AF29">
        <v>0.2661</v>
      </c>
      <c r="AG29" s="41">
        <v>0.55000000000000004</v>
      </c>
      <c r="AH29" s="41">
        <v>0.85</v>
      </c>
      <c r="AI29" s="41">
        <v>0.45</v>
      </c>
      <c r="AJ29" s="10"/>
      <c r="AK29" t="s">
        <v>27</v>
      </c>
      <c r="AL29">
        <v>0.2661</v>
      </c>
      <c r="AM29" s="41">
        <v>0.55000000000000004</v>
      </c>
      <c r="AN29" s="41">
        <v>0.85</v>
      </c>
      <c r="AO29" s="41">
        <v>0.45</v>
      </c>
      <c r="AP29" s="10"/>
      <c r="AQ29" t="s">
        <v>27</v>
      </c>
      <c r="AR29">
        <v>0.2661</v>
      </c>
      <c r="AS29" s="41">
        <v>0.55000000000000004</v>
      </c>
      <c r="AT29" s="41">
        <v>0.85</v>
      </c>
      <c r="AU29" s="42">
        <v>0.45</v>
      </c>
    </row>
    <row r="30" spans="1:47" hidden="1" outlineLevel="1" x14ac:dyDescent="0.25">
      <c r="A30" s="13" t="s">
        <v>28</v>
      </c>
      <c r="B30">
        <v>0.2077</v>
      </c>
      <c r="C30" s="43">
        <v>0.95</v>
      </c>
      <c r="D30" s="41">
        <v>0.35</v>
      </c>
      <c r="E30" s="44">
        <v>0.15</v>
      </c>
      <c r="F30" s="10"/>
      <c r="G30" t="s">
        <v>28</v>
      </c>
      <c r="H30">
        <v>0.2077</v>
      </c>
      <c r="I30" s="43">
        <v>0.99</v>
      </c>
      <c r="J30" s="41">
        <v>0.05</v>
      </c>
      <c r="K30" s="44">
        <v>0.01</v>
      </c>
      <c r="L30" s="10"/>
      <c r="M30" t="s">
        <v>28</v>
      </c>
      <c r="N30">
        <v>0.2077</v>
      </c>
      <c r="O30" s="43">
        <v>0.9</v>
      </c>
      <c r="P30" s="41">
        <v>0.42</v>
      </c>
      <c r="Q30" s="44">
        <v>0.25</v>
      </c>
      <c r="R30" s="10"/>
      <c r="S30" t="s">
        <v>28</v>
      </c>
      <c r="T30">
        <v>0.2077</v>
      </c>
      <c r="U30" s="41">
        <v>0.9</v>
      </c>
      <c r="V30" s="41">
        <v>0.42</v>
      </c>
      <c r="W30" s="41">
        <v>0.25</v>
      </c>
      <c r="X30" s="10"/>
      <c r="Y30" t="s">
        <v>28</v>
      </c>
      <c r="Z30">
        <v>0.2077</v>
      </c>
      <c r="AA30" s="41">
        <v>0.8</v>
      </c>
      <c r="AB30" s="41">
        <v>0.55000000000000004</v>
      </c>
      <c r="AC30" s="41">
        <v>0.35</v>
      </c>
      <c r="AE30" t="s">
        <v>28</v>
      </c>
      <c r="AF30">
        <v>0.2077</v>
      </c>
      <c r="AG30" s="41">
        <v>0.99</v>
      </c>
      <c r="AH30" s="41">
        <v>0.05</v>
      </c>
      <c r="AI30" s="41">
        <v>0.01</v>
      </c>
      <c r="AJ30" s="10"/>
      <c r="AK30" t="s">
        <v>28</v>
      </c>
      <c r="AL30">
        <v>0.2077</v>
      </c>
      <c r="AM30" s="41">
        <v>0.7</v>
      </c>
      <c r="AN30" s="41">
        <v>0.74</v>
      </c>
      <c r="AO30" s="41">
        <v>0.4</v>
      </c>
      <c r="AP30" s="10"/>
      <c r="AQ30" t="s">
        <v>28</v>
      </c>
      <c r="AR30">
        <v>0.2077</v>
      </c>
      <c r="AS30" s="41">
        <v>0.7</v>
      </c>
      <c r="AT30" s="41">
        <v>0.74</v>
      </c>
      <c r="AU30" s="42">
        <v>0.4</v>
      </c>
    </row>
    <row r="31" spans="1:47" collapsed="1" x14ac:dyDescent="0.25">
      <c r="A31" s="13" t="s">
        <v>44</v>
      </c>
      <c r="C31" s="36">
        <f>SQRT(1-(((1-(C27)^2)^B27)*((1-(C28)^2)^B28)*((1-(C29)^2)^B29)*((1-(C30)^2)^B30)))</f>
        <v>0.92831170595937251</v>
      </c>
      <c r="D31" s="27">
        <f>((D27^B27)*(D28^B28)*(D29^B29)*(D30^B30))</f>
        <v>0.28431048259398833</v>
      </c>
      <c r="E31" s="37">
        <f>((E27^B27)*(E28^B28)*(E29^B29)*(E30^B30))</f>
        <v>0.11772123309534563</v>
      </c>
      <c r="F31" s="10"/>
      <c r="G31" t="s">
        <v>44</v>
      </c>
      <c r="I31" s="36">
        <f>SQRT(1-(((1-(I27)^2)^H27)*((1-(I28)^2)^H28)*((1-(I29)^2)^H29)*((1-(I30)^2)^H30)))</f>
        <v>0.91481860628435074</v>
      </c>
      <c r="J31" s="27">
        <f>((J27^H27)*(J28^H28)*(J29^H29)*(J30^H30))</f>
        <v>0.32038760359939572</v>
      </c>
      <c r="K31" s="37">
        <f>((K27^H27)*(K28^H28)*(K29^H29)*(K30^H30))</f>
        <v>0.1477811655820816</v>
      </c>
      <c r="L31" s="10"/>
      <c r="M31" t="s">
        <v>44</v>
      </c>
      <c r="O31" s="36">
        <f>SQRT(1-(((1-(O27)^2)^N27)*((1-(O28)^2)^N28)*((1-(O29)^2)^N29)*((1-(O30)^2)^N30)))</f>
        <v>0.91987541007229745</v>
      </c>
      <c r="P31" s="27">
        <f>((P27^N27)*(P28^N28)*(P29^N29)*(P30^N30))</f>
        <v>0.40570801536698259</v>
      </c>
      <c r="Q31" s="37">
        <f>((Q27^N27)*(Q28^N28)*(Q29^N29)*(Q30^N30))</f>
        <v>0.20492153632287252</v>
      </c>
      <c r="R31" s="10"/>
      <c r="S31" t="s">
        <v>44</v>
      </c>
      <c r="U31" s="27">
        <f>SQRT(1-(((1-(U27)^2)^T27)*((1-(U28)^2)^T28)*((1-(U29)^2)^T29)*((1-(U30)^2)^T30)))</f>
        <v>0.93903170626727239</v>
      </c>
      <c r="V31" s="27">
        <f>((V27^T27)*(V28^T28)*(V29^T29)*(V30^T30))</f>
        <v>0.2764911401932863</v>
      </c>
      <c r="W31" s="27">
        <f>((W27^T27)*(W28^T28)*(W29^T29)*(W30^T30))</f>
        <v>0.11213194312189476</v>
      </c>
      <c r="X31" s="10"/>
      <c r="Y31" t="s">
        <v>44</v>
      </c>
      <c r="AA31" s="27">
        <f>SQRT(1-(((1-(AA27)^2)^Z27)*((1-(AA28)^2)^Z28)*((1-(AA29)^2)^Z29)*((1-(AA30)^2)^Z30)))</f>
        <v>0.93453406350229795</v>
      </c>
      <c r="AB31" s="27">
        <f>((AB27^Z27)*(AB28^Z28)*(AB29^Z29)*(AB30^Z30))</f>
        <v>0.2704162159531821</v>
      </c>
      <c r="AC31" s="27">
        <f>((AC27^Z27)*(AC28^Z28)*(AC29^Z29)*(AC30^Z30))</f>
        <v>0.10784531230863838</v>
      </c>
      <c r="AE31" t="s">
        <v>44</v>
      </c>
      <c r="AG31" s="27">
        <f>SQRT(1-(((1-(AG27)^2)^AF27)*((1-(AG28)^2)^AF28)*((1-(AG29)^2)^AF29)*((1-(AG30)^2)^AF30)))</f>
        <v>0.93417698905772228</v>
      </c>
      <c r="AH31" s="27">
        <f>((AH27^AF27)*(AH28^AF28)*(AH29^AF29)*(AH30^AF30))</f>
        <v>0.19030530055098638</v>
      </c>
      <c r="AI31" s="27">
        <f>((AI27^AF27)*(AI28^AF28)*(AI29^AF29)*(AI30^AF30))</f>
        <v>7.7317654997264895E-2</v>
      </c>
      <c r="AJ31" s="10"/>
      <c r="AK31" t="s">
        <v>44</v>
      </c>
      <c r="AM31" s="27">
        <f>SQRT(1-(((1-(AM27)^2)^AL27)*((1-(AM28)^2)^AL28)*((1-(AM29)^2)^AL29)*((1-(AM30)^2)^AL30)))</f>
        <v>0.72993873678249133</v>
      </c>
      <c r="AN31" s="27">
        <f>((AN27^AL27)*(AN28^AL28)*(AN29^AL29)*(AN30^AL30))</f>
        <v>0.68587177818766287</v>
      </c>
      <c r="AO31" s="27">
        <f>((AO27^AL27)*(AO28^AL28)*(AO29^AL29)*(AO30^AL30))</f>
        <v>0.39036642205345534</v>
      </c>
      <c r="AP31" s="10"/>
      <c r="AQ31" t="s">
        <v>44</v>
      </c>
      <c r="AS31" s="27">
        <f>SQRT(1-(((1-(AS27)^2)^AR27)*((1-(AS28)^2)^AR28)*((1-(AS29)^2)^AR29)*((1-(AS30)^2)^AR30)))</f>
        <v>0.66592187648382861</v>
      </c>
      <c r="AT31" s="27">
        <f>((AT27^AR27)*(AT28^AR28)*(AT29^AR29)*(AT30^AR30))</f>
        <v>0.74298043508855482</v>
      </c>
      <c r="AU31" s="29">
        <f>((AU27^AR27)*(AU28^AR28)*(AU29^AR29)*(AU30^AR30))</f>
        <v>0.41311030523172232</v>
      </c>
    </row>
    <row r="32" spans="1:47" hidden="1" outlineLevel="1" x14ac:dyDescent="0.25">
      <c r="A32" s="25"/>
      <c r="B32" s="10"/>
      <c r="C32" s="34"/>
      <c r="D32" s="10"/>
      <c r="E32" s="35"/>
      <c r="F32" s="10"/>
      <c r="G32" s="10"/>
      <c r="H32" s="10"/>
      <c r="I32" s="34"/>
      <c r="J32" s="10"/>
      <c r="K32" s="35"/>
      <c r="L32" s="10"/>
      <c r="M32" s="10"/>
      <c r="N32" s="10"/>
      <c r="O32" s="34"/>
      <c r="P32" s="10"/>
      <c r="Q32" s="35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26"/>
    </row>
    <row r="33" spans="1:47" hidden="1" outlineLevel="1" x14ac:dyDescent="0.25">
      <c r="A33" s="91" t="s">
        <v>43</v>
      </c>
      <c r="B33" s="89"/>
      <c r="C33" s="95" t="s">
        <v>80</v>
      </c>
      <c r="D33" s="96"/>
      <c r="E33" s="97"/>
      <c r="F33" s="10"/>
      <c r="G33" s="89" t="s">
        <v>43</v>
      </c>
      <c r="H33" s="89"/>
      <c r="I33" s="95" t="s">
        <v>81</v>
      </c>
      <c r="J33" s="96"/>
      <c r="K33" s="97"/>
      <c r="L33" s="10"/>
      <c r="M33" s="89" t="s">
        <v>43</v>
      </c>
      <c r="N33" s="89"/>
      <c r="O33" s="95" t="s">
        <v>82</v>
      </c>
      <c r="P33" s="96"/>
      <c r="Q33" s="97"/>
      <c r="R33" s="10"/>
      <c r="S33" s="89" t="s">
        <v>43</v>
      </c>
      <c r="T33" s="89"/>
      <c r="U33" s="96" t="s">
        <v>83</v>
      </c>
      <c r="V33" s="96"/>
      <c r="W33" s="96"/>
      <c r="X33" s="10"/>
      <c r="Y33" s="89" t="s">
        <v>43</v>
      </c>
      <c r="Z33" s="89"/>
      <c r="AA33" s="96" t="s">
        <v>84</v>
      </c>
      <c r="AB33" s="96"/>
      <c r="AC33" s="96"/>
      <c r="AD33" s="11"/>
      <c r="AE33" s="89" t="s">
        <v>43</v>
      </c>
      <c r="AF33" s="89"/>
      <c r="AG33" s="96" t="s">
        <v>85</v>
      </c>
      <c r="AH33" s="96"/>
      <c r="AI33" s="96"/>
      <c r="AJ33" s="10"/>
      <c r="AK33" s="89" t="s">
        <v>43</v>
      </c>
      <c r="AL33" s="89"/>
      <c r="AM33" s="96" t="s">
        <v>86</v>
      </c>
      <c r="AN33" s="96"/>
      <c r="AO33" s="96"/>
      <c r="AP33" s="10"/>
      <c r="AQ33" s="89" t="s">
        <v>43</v>
      </c>
      <c r="AR33" s="89"/>
      <c r="AS33" s="96" t="s">
        <v>87</v>
      </c>
      <c r="AT33" s="96"/>
      <c r="AU33" s="98"/>
    </row>
    <row r="34" spans="1:47" hidden="1" outlineLevel="1" x14ac:dyDescent="0.25">
      <c r="A34" s="13" t="s">
        <v>25</v>
      </c>
      <c r="B34">
        <v>0.24299999999999999</v>
      </c>
      <c r="C34" s="43">
        <v>0.55000000000000004</v>
      </c>
      <c r="D34" s="41">
        <v>0.85</v>
      </c>
      <c r="E34" s="44">
        <v>0.45</v>
      </c>
      <c r="F34" s="10"/>
      <c r="G34" t="s">
        <v>25</v>
      </c>
      <c r="H34">
        <v>0.24299999999999999</v>
      </c>
      <c r="I34" s="43">
        <v>0.9</v>
      </c>
      <c r="J34" s="41">
        <v>0.42</v>
      </c>
      <c r="K34" s="44">
        <v>0.25</v>
      </c>
      <c r="L34" s="10"/>
      <c r="M34" t="s">
        <v>25</v>
      </c>
      <c r="N34">
        <v>0.24299999999999999</v>
      </c>
      <c r="O34" s="43">
        <v>0.95</v>
      </c>
      <c r="P34" s="41">
        <v>0.35</v>
      </c>
      <c r="Q34" s="44">
        <v>0.15</v>
      </c>
      <c r="R34" s="10"/>
      <c r="S34" t="s">
        <v>25</v>
      </c>
      <c r="T34">
        <v>0.24299999999999999</v>
      </c>
      <c r="U34" s="41">
        <v>0.45</v>
      </c>
      <c r="V34" s="41">
        <v>0.9</v>
      </c>
      <c r="W34" s="41">
        <v>0.55000000000000004</v>
      </c>
      <c r="X34" s="10"/>
      <c r="Y34" t="s">
        <v>25</v>
      </c>
      <c r="Z34">
        <v>0.24299999999999999</v>
      </c>
      <c r="AA34" s="41">
        <v>0.35</v>
      </c>
      <c r="AB34" s="41">
        <v>0.65</v>
      </c>
      <c r="AC34" s="41">
        <v>0.8</v>
      </c>
      <c r="AE34" t="s">
        <v>25</v>
      </c>
      <c r="AF34">
        <v>0.24299999999999999</v>
      </c>
      <c r="AG34" s="41">
        <v>0.15</v>
      </c>
      <c r="AH34" s="41">
        <v>0.35</v>
      </c>
      <c r="AI34" s="41">
        <v>0.95</v>
      </c>
      <c r="AJ34" s="10"/>
      <c r="AK34" t="s">
        <v>25</v>
      </c>
      <c r="AL34">
        <v>0.24299999999999999</v>
      </c>
      <c r="AM34" s="41">
        <v>0.55000000000000004</v>
      </c>
      <c r="AN34" s="41">
        <v>0.85</v>
      </c>
      <c r="AO34" s="41">
        <v>0.45</v>
      </c>
      <c r="AP34" s="10"/>
      <c r="AQ34" t="s">
        <v>25</v>
      </c>
      <c r="AR34">
        <v>0.24299999999999999</v>
      </c>
      <c r="AS34" s="41">
        <v>0.45</v>
      </c>
      <c r="AT34" s="41">
        <v>0.9</v>
      </c>
      <c r="AU34" s="42">
        <v>0.55000000000000004</v>
      </c>
    </row>
    <row r="35" spans="1:47" hidden="1" outlineLevel="1" x14ac:dyDescent="0.25">
      <c r="A35" s="13" t="s">
        <v>26</v>
      </c>
      <c r="B35">
        <v>0.28320000000000001</v>
      </c>
      <c r="C35" s="43">
        <v>0.55000000000000004</v>
      </c>
      <c r="D35" s="41">
        <v>0.85</v>
      </c>
      <c r="E35" s="44">
        <v>0.45</v>
      </c>
      <c r="F35" s="10"/>
      <c r="G35" t="s">
        <v>26</v>
      </c>
      <c r="H35">
        <v>0.28320000000000001</v>
      </c>
      <c r="I35" s="43">
        <v>0.7</v>
      </c>
      <c r="J35" s="41">
        <v>0.74</v>
      </c>
      <c r="K35" s="44">
        <v>0.4</v>
      </c>
      <c r="L35" s="10"/>
      <c r="M35" t="s">
        <v>26</v>
      </c>
      <c r="N35">
        <v>0.28320000000000001</v>
      </c>
      <c r="O35" s="43">
        <v>0.45</v>
      </c>
      <c r="P35" s="41">
        <v>0.9</v>
      </c>
      <c r="Q35" s="44">
        <v>0.55000000000000004</v>
      </c>
      <c r="R35" s="10"/>
      <c r="S35" t="s">
        <v>26</v>
      </c>
      <c r="T35">
        <v>0.28320000000000001</v>
      </c>
      <c r="U35" s="41">
        <v>0.45</v>
      </c>
      <c r="V35" s="41">
        <v>0.9</v>
      </c>
      <c r="W35" s="41">
        <v>0.55000000000000004</v>
      </c>
      <c r="X35" s="10"/>
      <c r="Y35" t="s">
        <v>26</v>
      </c>
      <c r="Z35">
        <v>0.28320000000000001</v>
      </c>
      <c r="AA35" s="41">
        <v>0.55000000000000004</v>
      </c>
      <c r="AB35" s="41">
        <v>0.85</v>
      </c>
      <c r="AC35" s="41">
        <v>0.45</v>
      </c>
      <c r="AE35" t="s">
        <v>26</v>
      </c>
      <c r="AF35">
        <v>0.28320000000000001</v>
      </c>
      <c r="AG35" s="41">
        <v>0.55000000000000004</v>
      </c>
      <c r="AH35" s="41">
        <v>0.85</v>
      </c>
      <c r="AI35" s="41">
        <v>0.45</v>
      </c>
      <c r="AJ35" s="10"/>
      <c r="AK35" t="s">
        <v>26</v>
      </c>
      <c r="AL35">
        <v>0.28320000000000001</v>
      </c>
      <c r="AM35" s="41">
        <v>0.4</v>
      </c>
      <c r="AN35" s="41">
        <v>0.55000000000000004</v>
      </c>
      <c r="AO35" s="41">
        <v>0.7</v>
      </c>
      <c r="AP35" s="10"/>
      <c r="AQ35" t="s">
        <v>26</v>
      </c>
      <c r="AR35">
        <v>0.28320000000000001</v>
      </c>
      <c r="AS35" s="41">
        <v>0.45</v>
      </c>
      <c r="AT35" s="41">
        <v>0.9</v>
      </c>
      <c r="AU35" s="42">
        <v>0.55000000000000004</v>
      </c>
    </row>
    <row r="36" spans="1:47" hidden="1" outlineLevel="1" x14ac:dyDescent="0.25">
      <c r="A36" s="13" t="s">
        <v>27</v>
      </c>
      <c r="B36">
        <v>0.2661</v>
      </c>
      <c r="C36" s="43">
        <v>0.45</v>
      </c>
      <c r="D36" s="41">
        <v>0.9</v>
      </c>
      <c r="E36" s="44">
        <v>0.55000000000000004</v>
      </c>
      <c r="F36" s="10"/>
      <c r="G36" t="s">
        <v>27</v>
      </c>
      <c r="H36">
        <v>0.2661</v>
      </c>
      <c r="I36" s="43">
        <v>0.4</v>
      </c>
      <c r="J36" s="41">
        <v>0.55000000000000004</v>
      </c>
      <c r="K36" s="44">
        <v>0.7</v>
      </c>
      <c r="L36" s="10"/>
      <c r="M36" t="s">
        <v>27</v>
      </c>
      <c r="N36">
        <v>0.2661</v>
      </c>
      <c r="O36" s="43">
        <v>0.7</v>
      </c>
      <c r="P36" s="41">
        <v>0.74</v>
      </c>
      <c r="Q36" s="44">
        <v>0.4</v>
      </c>
      <c r="R36" s="10"/>
      <c r="S36" t="s">
        <v>27</v>
      </c>
      <c r="T36">
        <v>0.2661</v>
      </c>
      <c r="U36" s="41">
        <v>0.35</v>
      </c>
      <c r="V36" s="41">
        <v>0.65</v>
      </c>
      <c r="W36" s="41">
        <v>0.8</v>
      </c>
      <c r="X36" s="10"/>
      <c r="Y36" t="s">
        <v>27</v>
      </c>
      <c r="Z36">
        <v>0.2661</v>
      </c>
      <c r="AA36" s="41">
        <v>0.25</v>
      </c>
      <c r="AB36" s="41">
        <v>0.45</v>
      </c>
      <c r="AC36" s="41">
        <v>0.9</v>
      </c>
      <c r="AE36" t="s">
        <v>27</v>
      </c>
      <c r="AF36">
        <v>0.2661</v>
      </c>
      <c r="AG36" s="41">
        <v>0.15</v>
      </c>
      <c r="AH36" s="41">
        <v>0.35</v>
      </c>
      <c r="AI36" s="41">
        <v>0.95</v>
      </c>
      <c r="AJ36" s="10"/>
      <c r="AK36" t="s">
        <v>27</v>
      </c>
      <c r="AL36">
        <v>0.2661</v>
      </c>
      <c r="AM36" s="41">
        <v>0.8</v>
      </c>
      <c r="AN36" s="41">
        <v>0.55000000000000004</v>
      </c>
      <c r="AO36" s="41">
        <v>0.35</v>
      </c>
      <c r="AP36" s="10"/>
      <c r="AQ36" t="s">
        <v>27</v>
      </c>
      <c r="AR36">
        <v>0.2661</v>
      </c>
      <c r="AS36" s="41">
        <v>0.8</v>
      </c>
      <c r="AT36" s="41">
        <v>0.55000000000000004</v>
      </c>
      <c r="AU36" s="42">
        <v>0.35</v>
      </c>
    </row>
    <row r="37" spans="1:47" hidden="1" outlineLevel="1" x14ac:dyDescent="0.25">
      <c r="A37" s="13" t="s">
        <v>28</v>
      </c>
      <c r="B37">
        <v>0.2077</v>
      </c>
      <c r="C37" s="43">
        <v>0.55000000000000004</v>
      </c>
      <c r="D37" s="41">
        <v>0.85</v>
      </c>
      <c r="E37" s="44">
        <v>0.45</v>
      </c>
      <c r="F37" s="10"/>
      <c r="G37" t="s">
        <v>28</v>
      </c>
      <c r="H37">
        <v>0.2077</v>
      </c>
      <c r="I37" s="43">
        <v>0.45</v>
      </c>
      <c r="J37" s="41">
        <v>0.9</v>
      </c>
      <c r="K37" s="44">
        <v>0.55000000000000004</v>
      </c>
      <c r="L37" s="10"/>
      <c r="M37" t="s">
        <v>28</v>
      </c>
      <c r="N37">
        <v>0.2077</v>
      </c>
      <c r="O37" s="43">
        <v>0.45</v>
      </c>
      <c r="P37" s="41">
        <v>0.9</v>
      </c>
      <c r="Q37" s="44">
        <v>0.55000000000000004</v>
      </c>
      <c r="R37" s="10"/>
      <c r="S37" t="s">
        <v>28</v>
      </c>
      <c r="T37">
        <v>0.2077</v>
      </c>
      <c r="U37" s="41">
        <v>0.55000000000000004</v>
      </c>
      <c r="V37" s="41">
        <v>0.85</v>
      </c>
      <c r="W37" s="41">
        <v>0.45</v>
      </c>
      <c r="X37" s="10"/>
      <c r="Y37" t="s">
        <v>28</v>
      </c>
      <c r="Z37">
        <v>0.2077</v>
      </c>
      <c r="AA37" s="41">
        <v>0.35</v>
      </c>
      <c r="AB37" s="41">
        <v>0.65</v>
      </c>
      <c r="AC37" s="41">
        <v>0.8</v>
      </c>
      <c r="AE37" t="s">
        <v>28</v>
      </c>
      <c r="AF37">
        <v>0.2077</v>
      </c>
      <c r="AG37" s="41">
        <v>0.35</v>
      </c>
      <c r="AH37" s="41">
        <v>0.65</v>
      </c>
      <c r="AI37" s="41">
        <v>0.8</v>
      </c>
      <c r="AJ37" s="10"/>
      <c r="AK37" t="s">
        <v>28</v>
      </c>
      <c r="AL37">
        <v>0.2077</v>
      </c>
      <c r="AM37" s="41">
        <v>0.25</v>
      </c>
      <c r="AN37" s="41">
        <v>0.45</v>
      </c>
      <c r="AO37" s="41">
        <v>0.9</v>
      </c>
      <c r="AP37" s="10"/>
      <c r="AQ37" t="s">
        <v>28</v>
      </c>
      <c r="AR37">
        <v>0.2077</v>
      </c>
      <c r="AS37" s="41">
        <v>0.15</v>
      </c>
      <c r="AT37" s="41">
        <v>0.35</v>
      </c>
      <c r="AU37" s="42">
        <v>0.95</v>
      </c>
    </row>
    <row r="38" spans="1:47" collapsed="1" x14ac:dyDescent="0.25">
      <c r="A38" s="13" t="s">
        <v>44</v>
      </c>
      <c r="C38" s="36">
        <f>SQRT(1-(((1-(C34)^2)^B34)*((1-(C35)^2)^B35)*((1-(C36)^2)^B36)*((1-(C37)^2)^B37)))</f>
        <v>0.52648286296443192</v>
      </c>
      <c r="D38" s="27">
        <f>((D34^B34)*(D35^B35)*(D36^B36)*(D37^B37))</f>
        <v>0.86302719556388696</v>
      </c>
      <c r="E38" s="37">
        <f>((E34^B34)*(E35^B35)*(E36^B36)*(E37^B37))</f>
        <v>0.47468245031867984</v>
      </c>
      <c r="F38" s="10"/>
      <c r="G38" t="s">
        <v>44</v>
      </c>
      <c r="I38" s="36">
        <f>SQRT(1-(((1-(I34)^2)^H34)*((1-(I35)^2)^H35)*((1-(I36)^2)^H36)*((1-(I37)^2)^H37)))</f>
        <v>0.70515208488063963</v>
      </c>
      <c r="J38" s="27">
        <f>((J34^H34)*(J35^H35)*(J36^H36)*(J37^H37))</f>
        <v>0.62061559074519512</v>
      </c>
      <c r="K38" s="37">
        <f>((K34^H34)*(K35^H35)*(K36^H36)*(K37^H37))</f>
        <v>0.44244239108059519</v>
      </c>
      <c r="L38" s="10"/>
      <c r="M38" t="s">
        <v>44</v>
      </c>
      <c r="O38" s="36">
        <f>SQRT(1-(((1-(O34)^2)^N34)*((1-(O35)^2)^N35)*((1-(O36)^2)^N36)*((1-(O37)^2)^N37)))</f>
        <v>0.75836289019254788</v>
      </c>
      <c r="P38" s="27">
        <f>((P34^N34)*(P35^N35)*(P36^N36)*(P37^N37))</f>
        <v>0.67912347572672993</v>
      </c>
      <c r="Q38" s="37">
        <f>((Q34^N34)*(Q35^N35)*(Q36^N36)*(Q37^N37))</f>
        <v>0.36850415066101844</v>
      </c>
      <c r="R38" s="10"/>
      <c r="S38" t="s">
        <v>44</v>
      </c>
      <c r="U38" s="27">
        <f>SQRT(1-(((1-(U34)^2)^T34)*((1-(U35)^2)^T35)*((1-(U36)^2)^T36)*((1-(U37)^2)^T37)))</f>
        <v>0.45211001466995532</v>
      </c>
      <c r="V38" s="27">
        <f>((V34^T34)*(V35^T35)*(V36^T36)*(V37^T37))</f>
        <v>0.8156032797901287</v>
      </c>
      <c r="W38" s="27">
        <f>((W34^T34)*(W35^T35)*(W36^T36)*(W37^T37))</f>
        <v>0.58285876514462509</v>
      </c>
      <c r="X38" s="10"/>
      <c r="Y38" t="s">
        <v>44</v>
      </c>
      <c r="AA38" s="27">
        <f>SQRT(1-(((1-(AA34)^2)^Z34)*((1-(AA35)^2)^Z35)*((1-(AA36)^2)^Z36)*((1-(AA37)^2)^Z37)))</f>
        <v>0.40390128596856423</v>
      </c>
      <c r="AB38" s="27">
        <f>((AB34^Z34)*(AB35^Z35)*(AB36^Z36)*(AB37^Z37))</f>
        <v>0.6359329669461411</v>
      </c>
      <c r="AC38" s="27">
        <f>((AC34^Z34)*(AC35^Z35)*(AC36^Z36)*(AC37^Z37))</f>
        <v>0.70135253780710938</v>
      </c>
      <c r="AE38" t="s">
        <v>44</v>
      </c>
      <c r="AG38" s="27">
        <f>SQRT(1-(((1-(AG34)^2)^AF34)*((1-(AG35)^2)^AF35)*((1-(AG36)^2)^AF36)*((1-(AG37)^2)^AF37)))</f>
        <v>0.36234576534123825</v>
      </c>
      <c r="AH38" s="27">
        <f>((AH34^AF34)*(AH35^AF35)*(AH36^AF36)*(AH37^AF37))</f>
        <v>0.51172729843032694</v>
      </c>
      <c r="AI38" s="27">
        <f>((AI34^AF34)*(AI35^AF35)*(AI36^AF36)*(AI37^AF37))</f>
        <v>0.74185779038268118</v>
      </c>
      <c r="AJ38" s="10"/>
      <c r="AK38" t="s">
        <v>44</v>
      </c>
      <c r="AM38" s="27">
        <f>SQRT(1-(((1-(AM34)^2)^AL34)*((1-(AM35)^2)^AL35)*((1-(AM36)^2)^AL36)*((1-(AM37)^2)^AL37)))</f>
        <v>0.58684481201379479</v>
      </c>
      <c r="AN38" s="27">
        <f>((AN34^AL34)*(AN35^AL35)*(AN36^AL36)*(AN37^AL37))</f>
        <v>0.58641120944937986</v>
      </c>
      <c r="AO38" s="27">
        <f>((AO34^AL34)*(AO35^AL35)*(AO36^AL36)*(AO37^AL37))</f>
        <v>0.55085219153930765</v>
      </c>
      <c r="AP38" s="10"/>
      <c r="AQ38" t="s">
        <v>44</v>
      </c>
      <c r="AS38" s="27">
        <f>SQRT(1-(((1-(AS34)^2)^AR34)*((1-(AS35)^2)^AR35)*((1-(AS36)^2)^AR36)*((1-(AS37)^2)^AR37)))</f>
        <v>0.57162907903740579</v>
      </c>
      <c r="AT38" s="27">
        <f>((AT34^AR34)*(AT35^AR35)*(AT36^AR36)*(AT37^AR37))</f>
        <v>0.64883736655949309</v>
      </c>
      <c r="AU38" s="29">
        <f>((AU34^AR34)*(AU35^AR35)*(AU36^AR36)*(AU37^AR37))</f>
        <v>0.54629666168533064</v>
      </c>
    </row>
    <row r="39" spans="1:47" hidden="1" outlineLevel="1" x14ac:dyDescent="0.25">
      <c r="A39" s="25"/>
      <c r="B39" s="10"/>
      <c r="C39" s="34"/>
      <c r="D39" s="10"/>
      <c r="E39" s="35"/>
      <c r="F39" s="10"/>
      <c r="G39" s="10"/>
      <c r="H39" s="10"/>
      <c r="I39" s="34"/>
      <c r="J39" s="10"/>
      <c r="K39" s="35"/>
      <c r="L39" s="10"/>
      <c r="M39" s="10"/>
      <c r="N39" s="10"/>
      <c r="O39" s="34"/>
      <c r="P39" s="10"/>
      <c r="Q39" s="35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26"/>
    </row>
    <row r="40" spans="1:47" hidden="1" outlineLevel="1" x14ac:dyDescent="0.25">
      <c r="A40" s="91" t="s">
        <v>43</v>
      </c>
      <c r="B40" s="89"/>
      <c r="C40" s="95" t="s">
        <v>88</v>
      </c>
      <c r="D40" s="96"/>
      <c r="E40" s="97"/>
      <c r="F40" s="10"/>
      <c r="G40" s="89" t="s">
        <v>43</v>
      </c>
      <c r="H40" s="89"/>
      <c r="I40" s="95" t="s">
        <v>89</v>
      </c>
      <c r="J40" s="96"/>
      <c r="K40" s="97"/>
      <c r="L40" s="10"/>
      <c r="M40" s="89" t="s">
        <v>43</v>
      </c>
      <c r="N40" s="89"/>
      <c r="O40" s="95" t="s">
        <v>90</v>
      </c>
      <c r="P40" s="96"/>
      <c r="Q40" s="97"/>
      <c r="R40" s="10"/>
      <c r="S40" s="89" t="s">
        <v>43</v>
      </c>
      <c r="T40" s="89"/>
      <c r="U40" s="96" t="s">
        <v>91</v>
      </c>
      <c r="V40" s="96"/>
      <c r="W40" s="96"/>
      <c r="X40" s="10"/>
      <c r="Y40" s="89" t="s">
        <v>43</v>
      </c>
      <c r="Z40" s="89"/>
      <c r="AA40" s="96" t="s">
        <v>92</v>
      </c>
      <c r="AB40" s="96"/>
      <c r="AC40" s="96"/>
      <c r="AD40" s="11"/>
      <c r="AE40" s="89" t="s">
        <v>43</v>
      </c>
      <c r="AF40" s="89"/>
      <c r="AG40" s="96" t="s">
        <v>93</v>
      </c>
      <c r="AH40" s="96"/>
      <c r="AI40" s="96"/>
      <c r="AJ40" s="10"/>
      <c r="AK40" s="89" t="s">
        <v>43</v>
      </c>
      <c r="AL40" s="89"/>
      <c r="AM40" s="96" t="s">
        <v>94</v>
      </c>
      <c r="AN40" s="96"/>
      <c r="AO40" s="96"/>
      <c r="AP40" s="10"/>
      <c r="AQ40" s="89" t="s">
        <v>43</v>
      </c>
      <c r="AR40" s="89"/>
      <c r="AS40" s="89" t="s">
        <v>95</v>
      </c>
      <c r="AT40" s="89"/>
      <c r="AU40" s="90"/>
    </row>
    <row r="41" spans="1:47" hidden="1" outlineLevel="1" x14ac:dyDescent="0.25">
      <c r="A41" s="13" t="s">
        <v>25</v>
      </c>
      <c r="B41">
        <v>0.24299999999999999</v>
      </c>
      <c r="C41" s="43">
        <v>0.8</v>
      </c>
      <c r="D41" s="41">
        <v>0.55000000000000004</v>
      </c>
      <c r="E41" s="44">
        <v>0.35</v>
      </c>
      <c r="F41" s="10"/>
      <c r="G41" t="s">
        <v>25</v>
      </c>
      <c r="H41">
        <v>0.24299999999999999</v>
      </c>
      <c r="I41" s="43">
        <v>0.7</v>
      </c>
      <c r="J41" s="41">
        <v>0.74</v>
      </c>
      <c r="K41" s="44">
        <v>0.4</v>
      </c>
      <c r="L41" s="10"/>
      <c r="M41" t="s">
        <v>25</v>
      </c>
      <c r="N41">
        <v>0.24299999999999999</v>
      </c>
      <c r="O41" s="43">
        <v>0.55000000000000004</v>
      </c>
      <c r="P41" s="41">
        <v>0.85</v>
      </c>
      <c r="Q41" s="44">
        <v>0.45</v>
      </c>
      <c r="R41" s="10"/>
      <c r="S41" t="s">
        <v>25</v>
      </c>
      <c r="T41">
        <v>0.24299999999999999</v>
      </c>
      <c r="U41" s="41">
        <v>0.45</v>
      </c>
      <c r="V41" s="41">
        <v>0.9</v>
      </c>
      <c r="W41" s="41">
        <v>0.55000000000000004</v>
      </c>
      <c r="X41" s="10"/>
      <c r="Y41" t="s">
        <v>25</v>
      </c>
      <c r="Z41">
        <v>0.24299999999999999</v>
      </c>
      <c r="AA41" s="41">
        <v>0.9</v>
      </c>
      <c r="AB41" s="41">
        <v>0.42</v>
      </c>
      <c r="AC41" s="41">
        <v>0.25</v>
      </c>
      <c r="AE41" t="s">
        <v>25</v>
      </c>
      <c r="AF41">
        <v>0.24299999999999999</v>
      </c>
      <c r="AG41" s="41">
        <v>0.99</v>
      </c>
      <c r="AH41" s="41">
        <v>0.05</v>
      </c>
      <c r="AI41" s="41">
        <v>0.01</v>
      </c>
      <c r="AJ41" s="10"/>
      <c r="AK41" t="s">
        <v>25</v>
      </c>
      <c r="AL41">
        <v>0.24299999999999999</v>
      </c>
      <c r="AM41" s="41">
        <v>0.4</v>
      </c>
      <c r="AN41" s="41">
        <v>0.55000000000000004</v>
      </c>
      <c r="AO41" s="41">
        <v>0.7</v>
      </c>
      <c r="AP41" s="10"/>
      <c r="AQ41" t="s">
        <v>25</v>
      </c>
      <c r="AR41">
        <v>0.24299999999999999</v>
      </c>
      <c r="AS41">
        <v>0.35</v>
      </c>
      <c r="AT41">
        <v>0.65</v>
      </c>
      <c r="AU41" s="14">
        <v>0.8</v>
      </c>
    </row>
    <row r="42" spans="1:47" hidden="1" outlineLevel="1" x14ac:dyDescent="0.25">
      <c r="A42" s="13" t="s">
        <v>26</v>
      </c>
      <c r="B42">
        <v>0.28320000000000001</v>
      </c>
      <c r="C42" s="43">
        <v>0.9</v>
      </c>
      <c r="D42" s="41">
        <v>0.42</v>
      </c>
      <c r="E42" s="44">
        <v>0.25</v>
      </c>
      <c r="F42" s="10"/>
      <c r="G42" t="s">
        <v>26</v>
      </c>
      <c r="H42">
        <v>0.28320000000000001</v>
      </c>
      <c r="I42" s="43">
        <v>0.9</v>
      </c>
      <c r="J42" s="41">
        <v>0.42</v>
      </c>
      <c r="K42" s="44">
        <v>0.25</v>
      </c>
      <c r="L42" s="10"/>
      <c r="M42" t="s">
        <v>26</v>
      </c>
      <c r="N42">
        <v>0.28320000000000001</v>
      </c>
      <c r="O42" s="43">
        <v>0.8</v>
      </c>
      <c r="P42" s="41">
        <v>0.55000000000000004</v>
      </c>
      <c r="Q42" s="44">
        <v>0.35</v>
      </c>
      <c r="R42" s="10"/>
      <c r="S42" t="s">
        <v>26</v>
      </c>
      <c r="T42">
        <v>0.28320000000000001</v>
      </c>
      <c r="U42" s="41">
        <v>0.45</v>
      </c>
      <c r="V42" s="41">
        <v>0.9</v>
      </c>
      <c r="W42" s="41">
        <v>0.55000000000000004</v>
      </c>
      <c r="X42" s="10"/>
      <c r="Y42" t="s">
        <v>26</v>
      </c>
      <c r="Z42">
        <v>0.28320000000000001</v>
      </c>
      <c r="AA42" s="41">
        <v>0.55000000000000004</v>
      </c>
      <c r="AB42" s="41">
        <v>0.85</v>
      </c>
      <c r="AC42" s="41">
        <v>0.45</v>
      </c>
      <c r="AE42" t="s">
        <v>26</v>
      </c>
      <c r="AF42">
        <v>0.28320000000000001</v>
      </c>
      <c r="AG42" s="41">
        <v>0.45</v>
      </c>
      <c r="AH42" s="41">
        <v>0.9</v>
      </c>
      <c r="AI42" s="41">
        <v>0.55000000000000004</v>
      </c>
      <c r="AJ42" s="10"/>
      <c r="AK42" t="s">
        <v>26</v>
      </c>
      <c r="AL42">
        <v>0.28320000000000001</v>
      </c>
      <c r="AM42" s="41">
        <v>0.7</v>
      </c>
      <c r="AN42" s="41">
        <v>0.74</v>
      </c>
      <c r="AO42" s="41">
        <v>0.4</v>
      </c>
      <c r="AP42" s="10"/>
      <c r="AQ42" t="s">
        <v>26</v>
      </c>
      <c r="AR42">
        <v>0.28320000000000001</v>
      </c>
      <c r="AS42">
        <v>0.35</v>
      </c>
      <c r="AT42">
        <v>0.65</v>
      </c>
      <c r="AU42" s="14">
        <v>0.8</v>
      </c>
    </row>
    <row r="43" spans="1:47" hidden="1" outlineLevel="1" x14ac:dyDescent="0.25">
      <c r="A43" s="13" t="s">
        <v>27</v>
      </c>
      <c r="B43">
        <v>0.2661</v>
      </c>
      <c r="C43" s="43">
        <v>0.95</v>
      </c>
      <c r="D43" s="41">
        <v>0.35</v>
      </c>
      <c r="E43" s="44">
        <v>0.15</v>
      </c>
      <c r="F43" s="10"/>
      <c r="G43" t="s">
        <v>27</v>
      </c>
      <c r="H43">
        <v>0.2661</v>
      </c>
      <c r="I43" s="43">
        <v>0.8</v>
      </c>
      <c r="J43" s="41">
        <v>0.55000000000000004</v>
      </c>
      <c r="K43" s="44">
        <v>0.35</v>
      </c>
      <c r="L43" s="10"/>
      <c r="M43" t="s">
        <v>27</v>
      </c>
      <c r="N43">
        <v>0.2661</v>
      </c>
      <c r="O43" s="43">
        <v>0.7</v>
      </c>
      <c r="P43" s="41">
        <v>0.74</v>
      </c>
      <c r="Q43" s="44">
        <v>0.4</v>
      </c>
      <c r="R43" s="10"/>
      <c r="S43" t="s">
        <v>27</v>
      </c>
      <c r="T43">
        <v>0.2661</v>
      </c>
      <c r="U43" s="41">
        <v>0.55000000000000004</v>
      </c>
      <c r="V43" s="41">
        <v>0.85</v>
      </c>
      <c r="W43" s="41">
        <v>0.45</v>
      </c>
      <c r="X43" s="10"/>
      <c r="Y43" t="s">
        <v>27</v>
      </c>
      <c r="Z43">
        <v>0.2661</v>
      </c>
      <c r="AA43" s="41">
        <v>0.45</v>
      </c>
      <c r="AB43" s="41">
        <v>0.9</v>
      </c>
      <c r="AC43" s="41">
        <v>0.55000000000000004</v>
      </c>
      <c r="AE43" t="s">
        <v>27</v>
      </c>
      <c r="AF43">
        <v>0.2661</v>
      </c>
      <c r="AG43" s="41">
        <v>0.4</v>
      </c>
      <c r="AH43" s="41">
        <v>0.55000000000000004</v>
      </c>
      <c r="AI43" s="41">
        <v>0.7</v>
      </c>
      <c r="AJ43" s="10"/>
      <c r="AK43" t="s">
        <v>27</v>
      </c>
      <c r="AL43">
        <v>0.2661</v>
      </c>
      <c r="AM43" s="41">
        <v>0.4</v>
      </c>
      <c r="AN43" s="41">
        <v>0.55000000000000004</v>
      </c>
      <c r="AO43" s="41">
        <v>0.7</v>
      </c>
      <c r="AP43" s="10"/>
      <c r="AQ43" t="s">
        <v>27</v>
      </c>
      <c r="AR43">
        <v>0.2661</v>
      </c>
      <c r="AS43">
        <v>0.4</v>
      </c>
      <c r="AT43">
        <v>0.55000000000000004</v>
      </c>
      <c r="AU43" s="14">
        <v>0.7</v>
      </c>
    </row>
    <row r="44" spans="1:47" hidden="1" outlineLevel="1" x14ac:dyDescent="0.25">
      <c r="A44" s="13" t="s">
        <v>28</v>
      </c>
      <c r="B44">
        <v>0.2077</v>
      </c>
      <c r="C44" s="43">
        <v>0.55000000000000004</v>
      </c>
      <c r="D44" s="41">
        <v>0.85</v>
      </c>
      <c r="E44" s="44">
        <v>0.45</v>
      </c>
      <c r="F44" s="10"/>
      <c r="G44" t="s">
        <v>28</v>
      </c>
      <c r="H44">
        <v>0.2077</v>
      </c>
      <c r="I44" s="43">
        <v>0.7</v>
      </c>
      <c r="J44" s="41">
        <v>0.74</v>
      </c>
      <c r="K44" s="44">
        <v>0.4</v>
      </c>
      <c r="L44" s="10"/>
      <c r="M44" t="s">
        <v>28</v>
      </c>
      <c r="N44">
        <v>0.2077</v>
      </c>
      <c r="O44" s="43">
        <v>0.7</v>
      </c>
      <c r="P44" s="41">
        <v>0.74</v>
      </c>
      <c r="Q44" s="44">
        <v>0.4</v>
      </c>
      <c r="R44" s="10"/>
      <c r="S44" t="s">
        <v>28</v>
      </c>
      <c r="T44">
        <v>0.2077</v>
      </c>
      <c r="U44" s="41">
        <v>0.8</v>
      </c>
      <c r="V44" s="41">
        <v>0.55000000000000004</v>
      </c>
      <c r="W44" s="41">
        <v>0.35</v>
      </c>
      <c r="X44" s="10"/>
      <c r="Y44" t="s">
        <v>28</v>
      </c>
      <c r="Z44">
        <v>0.2077</v>
      </c>
      <c r="AA44" s="41">
        <v>0.8</v>
      </c>
      <c r="AB44" s="41">
        <v>0.55000000000000004</v>
      </c>
      <c r="AC44" s="41">
        <v>0.35</v>
      </c>
      <c r="AE44" t="s">
        <v>28</v>
      </c>
      <c r="AF44">
        <v>0.2077</v>
      </c>
      <c r="AG44" s="41">
        <v>0.4</v>
      </c>
      <c r="AH44" s="41">
        <v>0.55000000000000004</v>
      </c>
      <c r="AI44" s="41">
        <v>0.7</v>
      </c>
      <c r="AJ44" s="10"/>
      <c r="AK44" t="s">
        <v>28</v>
      </c>
      <c r="AL44">
        <v>0.2077</v>
      </c>
      <c r="AM44" s="41">
        <v>0.35</v>
      </c>
      <c r="AN44" s="41">
        <v>0.65</v>
      </c>
      <c r="AO44" s="41">
        <v>0.8</v>
      </c>
      <c r="AP44" s="10"/>
      <c r="AQ44" t="s">
        <v>28</v>
      </c>
      <c r="AR44">
        <v>0.2077</v>
      </c>
      <c r="AS44">
        <v>0.25</v>
      </c>
      <c r="AT44">
        <v>0.45</v>
      </c>
      <c r="AU44" s="14">
        <v>0.9</v>
      </c>
    </row>
    <row r="45" spans="1:47" collapsed="1" x14ac:dyDescent="0.25">
      <c r="A45" s="13" t="s">
        <v>44</v>
      </c>
      <c r="C45" s="36">
        <f>SQRT(1-(((1-(C41)^2)^B41)*((1-(C42)^2)^B42)*((1-(C43)^2)^B43)*((1-(C44)^2)^B44)))</f>
        <v>0.86980107984975319</v>
      </c>
      <c r="D45" s="27">
        <f>((D41^B41)*(D42^B42)*(D43^B43)*(D44^B44))</f>
        <v>0.49457157266875057</v>
      </c>
      <c r="E45" s="37">
        <f>((E41^B41)*(E42^B42)*(E43^B43)*(E44^B44))</f>
        <v>0.26756867521899447</v>
      </c>
      <c r="F45" s="10"/>
      <c r="G45" t="s">
        <v>44</v>
      </c>
      <c r="I45" s="36">
        <f>SQRT(1-(((1-(I41)^2)^H41)*((1-(I42)^2)^H42)*((1-(I43)^2)^H43)*((1-(I44)^2)^H44)))</f>
        <v>0.80531926512188445</v>
      </c>
      <c r="J45" s="27">
        <f>((J41^H41)*(J42^H42)*(J43^H43)*(J44^H44))</f>
        <v>0.58247521023010607</v>
      </c>
      <c r="K45" s="37">
        <f>((K41^H41)*(K42^H42)*(K43^H43)*(K44^H44))</f>
        <v>0.33792595915359402</v>
      </c>
      <c r="L45" s="10"/>
      <c r="M45" t="s">
        <v>44</v>
      </c>
      <c r="O45" s="36">
        <f>SQRT(1-(((1-(O41)^2)^N41)*((1-(O42)^2)^N42)*((1-(O43)^2)^N43)*((1-(O44)^2)^N44)))</f>
        <v>0.70807934877321599</v>
      </c>
      <c r="P45" s="27">
        <f>((P41^N41)*(P42^N42)*(P43^N43)*(P44^N44))</f>
        <v>0.70365779233120995</v>
      </c>
      <c r="Q45" s="37">
        <f>((Q41^N41)*(Q42^N42)*(Q43^N43)*(Q44^N44))</f>
        <v>0.39633893211964888</v>
      </c>
      <c r="R45" s="10"/>
      <c r="S45" t="s">
        <v>44</v>
      </c>
      <c r="U45" s="27">
        <f>SQRT(1-(((1-(U41)^2)^T41)*((1-(U42)^2)^T42)*((1-(U43)^2)^T43)*((1-(U44)^2)^T44)))</f>
        <v>0.58959155670963359</v>
      </c>
      <c r="V45" s="27">
        <f>((V41^T41)*(V42^T42)*(V43^T43)*(V44^T44))</f>
        <v>0.80022868530238611</v>
      </c>
      <c r="W45" s="27">
        <f>((W41^T41)*(W42^T42)*(W43^T43)*(W44^T44))</f>
        <v>0.4746807609912887</v>
      </c>
      <c r="X45" s="10"/>
      <c r="Y45" t="s">
        <v>44</v>
      </c>
      <c r="AA45" s="27">
        <f>SQRT(1-(((1-(AA41)^2)^Z41)*((1-(AA42)^2)^Z42)*((1-(AA43)^2)^Z43)*((1-(AA44)^2)^Z44)))</f>
        <v>0.73530366483266796</v>
      </c>
      <c r="AB45" s="27">
        <f>((AB41^Z41)*(AB42^Z42)*(AB43^Z43)*(AB44^Z44))</f>
        <v>0.66429086411194949</v>
      </c>
      <c r="AC45" s="27">
        <f>((AC41^Z41)*(AC42^Z42)*(AC43^Z43)*(AC44^Z44))</f>
        <v>0.39057338935158814</v>
      </c>
      <c r="AE45" t="s">
        <v>44</v>
      </c>
      <c r="AG45" s="27">
        <f>SQRT(1-(((1-(AG41)^2)^AF41)*((1-(AG42)^2)^AF42)*((1-(AG43)^2)^AF43)*((1-(AG44)^2)^AF44)))</f>
        <v>0.81647956089944429</v>
      </c>
      <c r="AH45" s="27">
        <f>((AH41^AF41)*(AH42^AF42)*(AH43^AF43)*(AH44^AF44))</f>
        <v>0.35308155615557241</v>
      </c>
      <c r="AI45" s="27">
        <f>((AI41^AF41)*(AI42^AF42)*(AI43^AF43)*(AI44^AF44))</f>
        <v>0.23285103090059636</v>
      </c>
      <c r="AJ45" s="10"/>
      <c r="AK45" t="s">
        <v>44</v>
      </c>
      <c r="AM45" s="27">
        <f>SQRT(1-(((1-(AM41)^2)^AL41)*((1-(AM42)^2)^AL42)*((1-(AM43)^2)^AL43)*((1-(AM44)^2)^AL44)))</f>
        <v>0.51386030394131443</v>
      </c>
      <c r="AN45" s="27">
        <f>((AN41^AL41)*(AN42^AL42)*(AN43^AL43)*(AN44^AL44))</f>
        <v>0.61933720866460207</v>
      </c>
      <c r="AO45" s="27">
        <f>((AO41^AL41)*(AO42^AL42)*(AO43^AL43)*(AO44^AL44))</f>
        <v>0.61420676000930041</v>
      </c>
      <c r="AP45" s="10"/>
      <c r="AQ45" t="s">
        <v>44</v>
      </c>
      <c r="AS45" s="27">
        <f>SQRT(1-(((1-(AS41)^2)^AR41)*((1-(AS42)^2)^AR42)*((1-(AS43)^2)^AR43)*((1-(AS44)^2)^AR44)))</f>
        <v>0.34733536734706755</v>
      </c>
      <c r="AT45" s="27">
        <f>((AT41^AR41)*(AT42^AR42)*(AT43^AR43)*(AT44^AR44))</f>
        <v>0.57602026025365649</v>
      </c>
      <c r="AU45" s="29">
        <f>((AU41^AR41)*(AU42^AR42)*(AU43^AR43)*(AU44^AR44))</f>
        <v>0.7911934965904911</v>
      </c>
    </row>
    <row r="46" spans="1:47" hidden="1" outlineLevel="1" x14ac:dyDescent="0.25">
      <c r="A46" s="25"/>
      <c r="B46" s="10"/>
      <c r="C46" s="34"/>
      <c r="D46" s="10"/>
      <c r="E46" s="35"/>
      <c r="F46" s="10"/>
      <c r="G46" s="10"/>
      <c r="H46" s="10"/>
      <c r="I46" s="34"/>
      <c r="J46" s="10"/>
      <c r="K46" s="35"/>
      <c r="L46" s="10"/>
      <c r="M46" s="10"/>
      <c r="N46" s="10"/>
      <c r="O46" s="34"/>
      <c r="P46" s="10"/>
      <c r="Q46" s="35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26"/>
    </row>
    <row r="47" spans="1:47" hidden="1" outlineLevel="1" x14ac:dyDescent="0.25">
      <c r="A47" s="91" t="s">
        <v>43</v>
      </c>
      <c r="B47" s="89"/>
      <c r="C47" s="95" t="s">
        <v>96</v>
      </c>
      <c r="D47" s="96"/>
      <c r="E47" s="97"/>
      <c r="F47" s="10"/>
      <c r="G47" s="89" t="s">
        <v>43</v>
      </c>
      <c r="H47" s="89"/>
      <c r="I47" s="95" t="s">
        <v>97</v>
      </c>
      <c r="J47" s="96"/>
      <c r="K47" s="97"/>
      <c r="L47" s="10"/>
      <c r="M47" s="89" t="s">
        <v>43</v>
      </c>
      <c r="N47" s="89"/>
      <c r="O47" s="95" t="s">
        <v>98</v>
      </c>
      <c r="P47" s="96"/>
      <c r="Q47" s="97"/>
      <c r="R47" s="10"/>
      <c r="S47" s="89" t="s">
        <v>43</v>
      </c>
      <c r="T47" s="89"/>
      <c r="U47" s="96" t="s">
        <v>99</v>
      </c>
      <c r="V47" s="96"/>
      <c r="W47" s="96"/>
      <c r="X47" s="10"/>
      <c r="Y47" s="89" t="s">
        <v>43</v>
      </c>
      <c r="Z47" s="89"/>
      <c r="AA47" s="96" t="s">
        <v>100</v>
      </c>
      <c r="AB47" s="96"/>
      <c r="AC47" s="96"/>
      <c r="AD47" s="11"/>
      <c r="AE47" s="89" t="s">
        <v>43</v>
      </c>
      <c r="AF47" s="89"/>
      <c r="AG47" s="96" t="s">
        <v>101</v>
      </c>
      <c r="AH47" s="96"/>
      <c r="AI47" s="96"/>
      <c r="AJ47" s="10"/>
      <c r="AK47" s="89" t="s">
        <v>43</v>
      </c>
      <c r="AL47" s="89"/>
      <c r="AM47" s="96" t="s">
        <v>102</v>
      </c>
      <c r="AN47" s="96"/>
      <c r="AO47" s="96"/>
      <c r="AP47" s="10"/>
      <c r="AQ47" s="89" t="s">
        <v>43</v>
      </c>
      <c r="AR47" s="89"/>
      <c r="AS47" s="96" t="s">
        <v>103</v>
      </c>
      <c r="AT47" s="96"/>
      <c r="AU47" s="98"/>
    </row>
    <row r="48" spans="1:47" hidden="1" outlineLevel="1" x14ac:dyDescent="0.25">
      <c r="A48" s="13" t="s">
        <v>25</v>
      </c>
      <c r="B48">
        <v>0.24299999999999999</v>
      </c>
      <c r="C48" s="43">
        <v>0.25</v>
      </c>
      <c r="D48" s="41">
        <v>0.45</v>
      </c>
      <c r="E48" s="44">
        <v>0.9</v>
      </c>
      <c r="F48" s="10"/>
      <c r="G48" t="s">
        <v>25</v>
      </c>
      <c r="H48">
        <v>0.24299999999999999</v>
      </c>
      <c r="I48" s="43">
        <v>0.45</v>
      </c>
      <c r="J48" s="41">
        <v>0.9</v>
      </c>
      <c r="K48" s="44">
        <v>0.55000000000000004</v>
      </c>
      <c r="L48" s="10"/>
      <c r="M48" t="s">
        <v>25</v>
      </c>
      <c r="N48">
        <v>0.24299999999999999</v>
      </c>
      <c r="O48" s="43">
        <v>0.45</v>
      </c>
      <c r="P48" s="41">
        <v>0.9</v>
      </c>
      <c r="Q48" s="44">
        <v>0.55000000000000004</v>
      </c>
      <c r="R48" s="10"/>
      <c r="S48" t="s">
        <v>25</v>
      </c>
      <c r="T48">
        <v>0.24299999999999999</v>
      </c>
      <c r="U48" s="41">
        <v>0.45</v>
      </c>
      <c r="V48" s="41">
        <v>0.9</v>
      </c>
      <c r="W48" s="41">
        <v>0.55000000000000004</v>
      </c>
      <c r="X48" s="10"/>
      <c r="Y48" t="s">
        <v>25</v>
      </c>
      <c r="Z48">
        <v>0.24299999999999999</v>
      </c>
      <c r="AA48" s="41">
        <v>0.95</v>
      </c>
      <c r="AB48" s="41">
        <v>0.35</v>
      </c>
      <c r="AC48" s="41">
        <v>0.15</v>
      </c>
      <c r="AE48" t="s">
        <v>25</v>
      </c>
      <c r="AF48">
        <v>0.24299999999999999</v>
      </c>
      <c r="AG48" s="41">
        <v>0.8</v>
      </c>
      <c r="AH48" s="41">
        <v>0.55000000000000004</v>
      </c>
      <c r="AI48" s="41">
        <v>0.35</v>
      </c>
      <c r="AJ48" s="10"/>
      <c r="AK48" t="s">
        <v>25</v>
      </c>
      <c r="AL48">
        <v>0.24299999999999999</v>
      </c>
      <c r="AM48" s="41">
        <v>0.8</v>
      </c>
      <c r="AN48" s="41">
        <v>0.55000000000000004</v>
      </c>
      <c r="AO48" s="41">
        <v>0.35</v>
      </c>
      <c r="AP48" s="10"/>
      <c r="AQ48" t="s">
        <v>25</v>
      </c>
      <c r="AR48">
        <v>0.24299999999999999</v>
      </c>
      <c r="AS48" s="41">
        <v>0.8</v>
      </c>
      <c r="AT48" s="41">
        <v>0.55000000000000004</v>
      </c>
      <c r="AU48" s="42">
        <v>0.35</v>
      </c>
    </row>
    <row r="49" spans="1:47" hidden="1" outlineLevel="1" x14ac:dyDescent="0.25">
      <c r="A49" s="13" t="s">
        <v>26</v>
      </c>
      <c r="B49">
        <v>0.28320000000000001</v>
      </c>
      <c r="C49" s="43">
        <v>0.4</v>
      </c>
      <c r="D49" s="41">
        <v>0.55000000000000004</v>
      </c>
      <c r="E49" s="44">
        <v>0.7</v>
      </c>
      <c r="F49" s="10"/>
      <c r="G49" t="s">
        <v>26</v>
      </c>
      <c r="H49">
        <v>0.28320000000000001</v>
      </c>
      <c r="I49" s="43">
        <v>0.7</v>
      </c>
      <c r="J49" s="41">
        <v>0.74</v>
      </c>
      <c r="K49" s="44">
        <v>0.4</v>
      </c>
      <c r="L49" s="10"/>
      <c r="M49" t="s">
        <v>26</v>
      </c>
      <c r="N49">
        <v>0.28320000000000001</v>
      </c>
      <c r="O49" s="43">
        <v>0.55000000000000004</v>
      </c>
      <c r="P49" s="41">
        <v>0.85</v>
      </c>
      <c r="Q49" s="44">
        <v>0.45</v>
      </c>
      <c r="R49" s="10"/>
      <c r="S49" t="s">
        <v>26</v>
      </c>
      <c r="T49">
        <v>0.28320000000000001</v>
      </c>
      <c r="U49" s="41">
        <v>0.45</v>
      </c>
      <c r="V49" s="41">
        <v>0.9</v>
      </c>
      <c r="W49" s="41">
        <v>0.55000000000000004</v>
      </c>
      <c r="X49" s="10"/>
      <c r="Y49" t="s">
        <v>26</v>
      </c>
      <c r="Z49">
        <v>0.28320000000000001</v>
      </c>
      <c r="AA49" s="41">
        <v>0.45</v>
      </c>
      <c r="AB49" s="41">
        <v>0.9</v>
      </c>
      <c r="AC49" s="41">
        <v>0.55000000000000004</v>
      </c>
      <c r="AE49" t="s">
        <v>26</v>
      </c>
      <c r="AF49">
        <v>0.28320000000000001</v>
      </c>
      <c r="AG49" s="41">
        <v>0.8</v>
      </c>
      <c r="AH49" s="41">
        <v>0.55000000000000004</v>
      </c>
      <c r="AI49" s="41">
        <v>0.35</v>
      </c>
      <c r="AJ49" s="10"/>
      <c r="AK49" t="s">
        <v>26</v>
      </c>
      <c r="AL49">
        <v>0.28320000000000001</v>
      </c>
      <c r="AM49" s="41">
        <v>0.8</v>
      </c>
      <c r="AN49" s="41">
        <v>0.55000000000000004</v>
      </c>
      <c r="AO49" s="41">
        <v>0.35</v>
      </c>
      <c r="AP49" s="10"/>
      <c r="AQ49" t="s">
        <v>26</v>
      </c>
      <c r="AR49">
        <v>0.28320000000000001</v>
      </c>
      <c r="AS49" s="41">
        <v>0.8</v>
      </c>
      <c r="AT49" s="41">
        <v>0.55000000000000004</v>
      </c>
      <c r="AU49" s="42">
        <v>0.35</v>
      </c>
    </row>
    <row r="50" spans="1:47" hidden="1" outlineLevel="1" x14ac:dyDescent="0.25">
      <c r="A50" s="13" t="s">
        <v>27</v>
      </c>
      <c r="B50">
        <v>0.2661</v>
      </c>
      <c r="C50" s="43">
        <v>0.35</v>
      </c>
      <c r="D50" s="41">
        <v>0.65</v>
      </c>
      <c r="E50" s="44">
        <v>0.8</v>
      </c>
      <c r="F50" s="10"/>
      <c r="G50" t="s">
        <v>27</v>
      </c>
      <c r="H50">
        <v>0.2661</v>
      </c>
      <c r="I50" s="43">
        <v>0.35</v>
      </c>
      <c r="J50" s="41">
        <v>0.65</v>
      </c>
      <c r="K50" s="44">
        <v>0.8</v>
      </c>
      <c r="L50" s="10"/>
      <c r="M50" t="s">
        <v>27</v>
      </c>
      <c r="N50">
        <v>0.2661</v>
      </c>
      <c r="O50" s="43">
        <v>0.4</v>
      </c>
      <c r="P50" s="41">
        <v>0.55000000000000004</v>
      </c>
      <c r="Q50" s="44">
        <v>0.7</v>
      </c>
      <c r="R50" s="10"/>
      <c r="S50" t="s">
        <v>27</v>
      </c>
      <c r="T50">
        <v>0.2661</v>
      </c>
      <c r="U50" s="41">
        <v>0.55000000000000004</v>
      </c>
      <c r="V50" s="41">
        <v>0.85</v>
      </c>
      <c r="W50" s="41">
        <v>0.45</v>
      </c>
      <c r="X50" s="10"/>
      <c r="Y50" t="s">
        <v>27</v>
      </c>
      <c r="Z50">
        <v>0.2661</v>
      </c>
      <c r="AA50" s="41">
        <v>0.45</v>
      </c>
      <c r="AB50" s="41">
        <v>0.9</v>
      </c>
      <c r="AC50" s="41">
        <v>0.55000000000000004</v>
      </c>
      <c r="AE50" t="s">
        <v>27</v>
      </c>
      <c r="AF50">
        <v>0.2661</v>
      </c>
      <c r="AG50" s="41">
        <v>0.45</v>
      </c>
      <c r="AH50" s="41">
        <v>0.9</v>
      </c>
      <c r="AI50" s="41">
        <v>0.55000000000000004</v>
      </c>
      <c r="AJ50" s="10"/>
      <c r="AK50" t="s">
        <v>27</v>
      </c>
      <c r="AL50">
        <v>0.2661</v>
      </c>
      <c r="AM50" s="41">
        <v>0.4</v>
      </c>
      <c r="AN50" s="41">
        <v>0.55000000000000004</v>
      </c>
      <c r="AO50" s="41">
        <v>0.7</v>
      </c>
      <c r="AP50" s="10"/>
      <c r="AQ50" t="s">
        <v>27</v>
      </c>
      <c r="AR50">
        <v>0.2661</v>
      </c>
      <c r="AS50" s="41">
        <v>0.4</v>
      </c>
      <c r="AT50" s="41">
        <v>0.55000000000000004</v>
      </c>
      <c r="AU50" s="42">
        <v>0.7</v>
      </c>
    </row>
    <row r="51" spans="1:47" hidden="1" outlineLevel="1" x14ac:dyDescent="0.25">
      <c r="A51" s="13" t="s">
        <v>28</v>
      </c>
      <c r="B51">
        <v>0.2077</v>
      </c>
      <c r="C51" s="43">
        <v>0.25</v>
      </c>
      <c r="D51" s="41">
        <v>0.45</v>
      </c>
      <c r="E51" s="44">
        <v>0.9</v>
      </c>
      <c r="F51" s="10"/>
      <c r="G51" t="s">
        <v>28</v>
      </c>
      <c r="H51">
        <v>0.2077</v>
      </c>
      <c r="I51" s="43">
        <v>0.35</v>
      </c>
      <c r="J51" s="41">
        <v>0.65</v>
      </c>
      <c r="K51" s="44">
        <v>0.8</v>
      </c>
      <c r="L51" s="10"/>
      <c r="M51" t="s">
        <v>28</v>
      </c>
      <c r="N51">
        <v>0.2077</v>
      </c>
      <c r="O51" s="43">
        <v>0.4</v>
      </c>
      <c r="P51" s="41">
        <v>0.55000000000000004</v>
      </c>
      <c r="Q51" s="44">
        <v>0.7</v>
      </c>
      <c r="R51" s="10"/>
      <c r="S51" t="s">
        <v>28</v>
      </c>
      <c r="T51">
        <v>0.2077</v>
      </c>
      <c r="U51" s="41">
        <v>0.7</v>
      </c>
      <c r="V51" s="41">
        <v>0.74</v>
      </c>
      <c r="W51" s="41">
        <v>0.4</v>
      </c>
      <c r="X51" s="10"/>
      <c r="Y51" t="s">
        <v>28</v>
      </c>
      <c r="Z51">
        <v>0.2077</v>
      </c>
      <c r="AA51" s="41">
        <v>0.55000000000000004</v>
      </c>
      <c r="AB51" s="41">
        <v>0.85</v>
      </c>
      <c r="AC51" s="41">
        <v>0.45</v>
      </c>
      <c r="AE51" t="s">
        <v>28</v>
      </c>
      <c r="AF51">
        <v>0.2077</v>
      </c>
      <c r="AG51" s="41">
        <v>0.4</v>
      </c>
      <c r="AH51" s="41">
        <v>0.55000000000000004</v>
      </c>
      <c r="AI51" s="41">
        <v>0.7</v>
      </c>
      <c r="AJ51" s="10"/>
      <c r="AK51" t="s">
        <v>28</v>
      </c>
      <c r="AL51">
        <v>0.2077</v>
      </c>
      <c r="AM51" s="41">
        <v>0.7</v>
      </c>
      <c r="AN51" s="41">
        <v>0.74</v>
      </c>
      <c r="AO51" s="41">
        <v>0.4</v>
      </c>
      <c r="AP51" s="10"/>
      <c r="AQ51" t="s">
        <v>28</v>
      </c>
      <c r="AR51">
        <v>0.2077</v>
      </c>
      <c r="AS51" s="41">
        <v>0.9</v>
      </c>
      <c r="AT51" s="41">
        <v>0.42</v>
      </c>
      <c r="AU51" s="42">
        <v>0.25</v>
      </c>
    </row>
    <row r="52" spans="1:47" ht="15.75" collapsed="1" thickBot="1" x14ac:dyDescent="0.3">
      <c r="A52" s="15" t="s">
        <v>44</v>
      </c>
      <c r="B52" s="16"/>
      <c r="C52" s="38">
        <f>SQRT(1-(((1-(C48)^2)^B48)*((1-(C49)^2)^B49)*((1-(C50)^2)^B50)*((1-(C51)^2)^B51)))</f>
        <v>0.32720297764385975</v>
      </c>
      <c r="D52" s="39">
        <f>((D48^B48)*(D49^B49)*(D50^B50)*(D51^B51))</f>
        <v>0.52527875716656658</v>
      </c>
      <c r="E52" s="40">
        <f>((E48^B48)*(E49^B49)*(E50^B50)*(E51^B51))</f>
        <v>0.81230870903185348</v>
      </c>
      <c r="F52" s="24"/>
      <c r="G52" s="16" t="s">
        <v>44</v>
      </c>
      <c r="H52" s="16"/>
      <c r="I52" s="38">
        <f>SQRT(1-(((1-(I48)^2)^H48)*((1-(I49)^2)^H49)*((1-(I50)^2)^H50)*((1-(I51)^2)^H51)))</f>
        <v>0.51457171568816351</v>
      </c>
      <c r="J52" s="39">
        <f>((J48^H48)*(J49^H49)*(J50^H50)*(J51^H51))</f>
        <v>0.72980309563858092</v>
      </c>
      <c r="K52" s="40">
        <f>((K48^H48)*(K49^H49)*(K50^H50)*(K51^H51))</f>
        <v>0.60019940274897243</v>
      </c>
      <c r="L52" s="24"/>
      <c r="M52" s="16" t="s">
        <v>44</v>
      </c>
      <c r="N52" s="16"/>
      <c r="O52" s="38">
        <f>SQRT(1-(((1-(O48)^2)^N48)*((1-(O49)^2)^N49)*((1-(O50)^2)^N50)*((1-(O51)^2)^N51)))</f>
        <v>0.46159564456695112</v>
      </c>
      <c r="P52" s="39">
        <f>((P48^N48)*(P49^N49)*(P50^N50)*(P51^N51))</f>
        <v>0.70125538916103602</v>
      </c>
      <c r="Q52" s="40">
        <f>((Q48^N48)*(Q49^N49)*(Q50^N50)*(Q51^N51))</f>
        <v>0.58251266039740179</v>
      </c>
      <c r="R52" s="24"/>
      <c r="S52" s="16" t="s">
        <v>44</v>
      </c>
      <c r="T52" s="16"/>
      <c r="U52" s="28">
        <f>SQRT(1-(((1-(U48)^2)^T48)*((1-(U49)^2)^T49)*((1-(U50)^2)^T50)*((1-(U51)^2)^T51)))</f>
        <v>0.54651046833870398</v>
      </c>
      <c r="V52" s="28">
        <f>((V48^T48)*(V49^T49)*(V50^T50)*(V51^T51))</f>
        <v>0.85109925975566714</v>
      </c>
      <c r="W52" s="28">
        <f>((W48^T48)*(W49^T49)*(W50^T50)*(W51^T51))</f>
        <v>0.48803004237919506</v>
      </c>
      <c r="X52" s="24"/>
      <c r="Y52" s="16" t="s">
        <v>44</v>
      </c>
      <c r="Z52" s="16"/>
      <c r="AA52" s="28">
        <f>SQRT(1-(((1-(AA48)^2)^Z48)*((1-(AA49)^2)^Z49)*((1-(AA50)^2)^Z50)*((1-(AA51)^2)^Z51)))</f>
        <v>0.731144003246056</v>
      </c>
      <c r="AB52" s="28">
        <f>((AB48^Z48)*(AB49^Z49)*(AB50^Z50)*(AB51^Z51))</f>
        <v>0.70699160366472957</v>
      </c>
      <c r="AC52" s="28">
        <f>((AC48^Z48)*(AC49^Z49)*(AC50^Z50)*(AC51^Z51))</f>
        <v>0.38471900460213859</v>
      </c>
      <c r="AD52" s="16"/>
      <c r="AE52" s="16" t="s">
        <v>44</v>
      </c>
      <c r="AF52" s="16"/>
      <c r="AG52" s="28">
        <f>SQRT(1-(((1-(AG48)^2)^AF48)*((1-(AG49)^2)^AF49)*((1-(AG50)^2)^AF50)*((1-(AG51)^2)^AF51)))</f>
        <v>0.68523249111929818</v>
      </c>
      <c r="AH52" s="28">
        <f>((AH48^AF48)*(AH49^AF49)*(AH50^AF50)*(AH51^AF51))</f>
        <v>0.62701237100642182</v>
      </c>
      <c r="AI52" s="28">
        <f>((AI48^AF48)*(AI49^AF49)*(AI50^AF50)*(AI51^AF51))</f>
        <v>0.45585421995193148</v>
      </c>
      <c r="AJ52" s="24"/>
      <c r="AK52" s="16" t="s">
        <v>44</v>
      </c>
      <c r="AL52" s="16"/>
      <c r="AM52" s="28">
        <f>SQRT(1-(((1-(AM48)^2)^AL48)*((1-(AM49)^2)^AL49)*((1-(AM50)^2)^AL50)*((1-(AM51)^2)^AL51)))</f>
        <v>0.71771460329542625</v>
      </c>
      <c r="AN52" s="28">
        <f>((AN48^AL48)*(AN49^AL49)*(AN50^AL50)*(AN51^AL51))</f>
        <v>0.58496352538116281</v>
      </c>
      <c r="AO52" s="28">
        <f>((AO48^AL48)*(AO49^AL49)*(AO50^AL50)*(AO51^AL51))</f>
        <v>0.43273004870390758</v>
      </c>
      <c r="AP52" s="24"/>
      <c r="AQ52" s="16" t="s">
        <v>44</v>
      </c>
      <c r="AR52" s="16"/>
      <c r="AS52" s="28">
        <f>SQRT(1-(((1-(AS48)^2)^AR48)*((1-(AS49)^2)^AR49)*((1-(AS50)^2)^AR50)*((1-(AS51)^2)^AR51)))</f>
        <v>0.77783083520051466</v>
      </c>
      <c r="AT52" s="28">
        <f>((AT48^AR48)*(AT49^AR49)*(AT50^AR50)*(AT51^AR51))</f>
        <v>0.52004178045214933</v>
      </c>
      <c r="AU52" s="30">
        <f>((AU48^AR48)*(AU49^AR49)*(AU50^AR50)*(AU51^AR51))</f>
        <v>0.39248343624575582</v>
      </c>
    </row>
    <row r="58" spans="1:47" ht="15.75" thickBot="1" x14ac:dyDescent="0.3">
      <c r="V58" t="s">
        <v>76</v>
      </c>
    </row>
    <row r="59" spans="1:47" x14ac:dyDescent="0.25">
      <c r="C59" s="94" t="s">
        <v>104</v>
      </c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3"/>
    </row>
    <row r="60" spans="1:47" x14ac:dyDescent="0.25">
      <c r="C60" s="13"/>
      <c r="AU60" s="14"/>
    </row>
    <row r="61" spans="1:47" x14ac:dyDescent="0.25">
      <c r="C61" s="13">
        <v>0.71822969650326973</v>
      </c>
      <c r="D61">
        <v>0.6963835261714294</v>
      </c>
      <c r="E61">
        <v>0.41177797720548914</v>
      </c>
      <c r="G61" t="s">
        <v>44</v>
      </c>
      <c r="I61">
        <v>0.72996304717673277</v>
      </c>
      <c r="J61">
        <v>0.61748534590461879</v>
      </c>
      <c r="K61">
        <v>0.40404885361783444</v>
      </c>
      <c r="M61" t="s">
        <v>44</v>
      </c>
      <c r="O61">
        <v>0.42736217407902555</v>
      </c>
      <c r="P61">
        <v>0.71269916626774299</v>
      </c>
      <c r="Q61">
        <v>0.61657554939326453</v>
      </c>
      <c r="S61" t="s">
        <v>44</v>
      </c>
      <c r="U61">
        <v>0.63435774215237839</v>
      </c>
      <c r="V61">
        <v>0.55754334922639193</v>
      </c>
      <c r="W61">
        <v>0.58065105957231489</v>
      </c>
      <c r="Y61" t="s">
        <v>44</v>
      </c>
      <c r="AA61">
        <v>0.34605524212173483</v>
      </c>
      <c r="AB61">
        <v>0.57824738768806272</v>
      </c>
      <c r="AC61">
        <v>0.79363776022388344</v>
      </c>
      <c r="AE61" t="s">
        <v>44</v>
      </c>
      <c r="AG61">
        <v>0.5710085121744336</v>
      </c>
      <c r="AH61">
        <v>0.61063476673905848</v>
      </c>
      <c r="AI61">
        <v>0.57371214118538072</v>
      </c>
      <c r="AK61" t="s">
        <v>44</v>
      </c>
      <c r="AM61">
        <v>0.45662055913576016</v>
      </c>
      <c r="AN61">
        <v>0.56893019166427727</v>
      </c>
      <c r="AO61">
        <v>0.70761935586626346</v>
      </c>
      <c r="AQ61" t="s">
        <v>44</v>
      </c>
      <c r="AS61">
        <v>0.63330382061914858</v>
      </c>
      <c r="AT61">
        <v>0.69907588709695667</v>
      </c>
      <c r="AU61" s="14">
        <v>0.48373280442539845</v>
      </c>
    </row>
    <row r="62" spans="1:47" x14ac:dyDescent="0.25">
      <c r="C62" s="13">
        <v>0.59665401174185684</v>
      </c>
      <c r="D62">
        <v>0.65368060154115148</v>
      </c>
      <c r="E62">
        <v>0.52317110627776364</v>
      </c>
      <c r="G62" t="s">
        <v>44</v>
      </c>
      <c r="I62">
        <v>0.71353002065584903</v>
      </c>
      <c r="J62">
        <v>0.5452184429133824</v>
      </c>
      <c r="K62">
        <v>0.44581138652437169</v>
      </c>
      <c r="M62" t="s">
        <v>44</v>
      </c>
      <c r="O62">
        <v>0.74847088549356133</v>
      </c>
      <c r="P62">
        <v>0.68878090851055185</v>
      </c>
      <c r="Q62">
        <v>0.38068084127201296</v>
      </c>
      <c r="S62" t="s">
        <v>44</v>
      </c>
      <c r="U62">
        <v>0.67175839295689121</v>
      </c>
      <c r="V62">
        <v>0.50223021287442737</v>
      </c>
      <c r="W62">
        <v>0.50947909135235248</v>
      </c>
      <c r="Y62" t="s">
        <v>44</v>
      </c>
      <c r="AA62">
        <v>0.53632431407235093</v>
      </c>
      <c r="AB62">
        <v>0.48366114818865596</v>
      </c>
      <c r="AC62">
        <v>0.68102433107592175</v>
      </c>
      <c r="AE62" t="s">
        <v>44</v>
      </c>
      <c r="AG62">
        <v>0.72586423617759388</v>
      </c>
      <c r="AH62">
        <v>0.60851338695641821</v>
      </c>
      <c r="AI62">
        <v>0.41392641710297007</v>
      </c>
      <c r="AK62" t="s">
        <v>44</v>
      </c>
      <c r="AM62">
        <v>0.71990800298778279</v>
      </c>
      <c r="AN62">
        <v>0.62434518866943989</v>
      </c>
      <c r="AO62">
        <v>0.42808948734566926</v>
      </c>
      <c r="AQ62" t="s">
        <v>44</v>
      </c>
      <c r="AS62">
        <v>0.72735166899478731</v>
      </c>
      <c r="AT62">
        <v>0.59518878381101392</v>
      </c>
      <c r="AU62" s="14">
        <v>0.41881635381717425</v>
      </c>
    </row>
    <row r="63" spans="1:47" x14ac:dyDescent="0.25">
      <c r="C63" s="13">
        <v>0.64841675204949933</v>
      </c>
      <c r="D63">
        <v>0.68912709422357177</v>
      </c>
      <c r="E63">
        <v>0.47235119405007098</v>
      </c>
      <c r="G63" t="s">
        <v>44</v>
      </c>
      <c r="I63">
        <v>0.62645207001288816</v>
      </c>
      <c r="J63">
        <v>0.76938036762758089</v>
      </c>
      <c r="K63">
        <v>0.4455024535725387</v>
      </c>
      <c r="M63" t="s">
        <v>44</v>
      </c>
      <c r="O63">
        <v>0.70734182012473079</v>
      </c>
      <c r="P63">
        <v>0.70988792020181901</v>
      </c>
      <c r="Q63">
        <v>0.41720704184503288</v>
      </c>
      <c r="S63" t="s">
        <v>44</v>
      </c>
      <c r="U63">
        <v>0.53420996971338841</v>
      </c>
      <c r="V63">
        <v>0.68715466920631918</v>
      </c>
      <c r="W63">
        <v>0.5585010359807635</v>
      </c>
      <c r="Y63" t="s">
        <v>44</v>
      </c>
      <c r="AA63">
        <v>0.50686645695447363</v>
      </c>
      <c r="AB63">
        <v>0.64346724303697256</v>
      </c>
      <c r="AC63">
        <v>0.5992999360889073</v>
      </c>
      <c r="AE63" t="s">
        <v>44</v>
      </c>
      <c r="AG63">
        <v>0.69478645437606634</v>
      </c>
      <c r="AH63">
        <v>0.58149082302540156</v>
      </c>
      <c r="AI63">
        <v>0.46482182997484744</v>
      </c>
      <c r="AK63" t="s">
        <v>44</v>
      </c>
      <c r="AM63">
        <v>0.48423758487806262</v>
      </c>
      <c r="AN63">
        <v>0.56035665303322657</v>
      </c>
      <c r="AO63">
        <v>0.66669827904577839</v>
      </c>
      <c r="AQ63" t="s">
        <v>44</v>
      </c>
      <c r="AS63">
        <v>0.74812340996257864</v>
      </c>
      <c r="AT63">
        <v>0.53386538400826189</v>
      </c>
      <c r="AU63" s="14">
        <v>0.47360784956767121</v>
      </c>
    </row>
    <row r="64" spans="1:47" x14ac:dyDescent="0.25">
      <c r="C64" s="13">
        <v>0.92831170595937251</v>
      </c>
      <c r="D64">
        <v>0.28431048259398833</v>
      </c>
      <c r="E64">
        <v>0.11772123309534563</v>
      </c>
      <c r="G64" t="s">
        <v>44</v>
      </c>
      <c r="I64">
        <v>0.91481860628435074</v>
      </c>
      <c r="J64">
        <v>0.32038760359939572</v>
      </c>
      <c r="K64">
        <v>0.1477811655820816</v>
      </c>
      <c r="M64" t="s">
        <v>44</v>
      </c>
      <c r="O64">
        <v>0.91987541007229745</v>
      </c>
      <c r="P64">
        <v>0.40570801536698259</v>
      </c>
      <c r="Q64">
        <v>0.20492153632287252</v>
      </c>
      <c r="S64" t="s">
        <v>44</v>
      </c>
      <c r="U64">
        <v>0.93903170626727239</v>
      </c>
      <c r="V64">
        <v>0.2764911401932863</v>
      </c>
      <c r="W64">
        <v>0.11213194312189476</v>
      </c>
      <c r="Y64" t="s">
        <v>44</v>
      </c>
      <c r="AA64">
        <v>0.93453406350229795</v>
      </c>
      <c r="AB64">
        <v>0.2704162159531821</v>
      </c>
      <c r="AC64">
        <v>0.10784531230863838</v>
      </c>
      <c r="AE64" t="s">
        <v>44</v>
      </c>
      <c r="AG64">
        <v>0.93417698905772228</v>
      </c>
      <c r="AH64">
        <v>0.19030530055098638</v>
      </c>
      <c r="AI64">
        <v>7.7317654997264895E-2</v>
      </c>
      <c r="AK64" t="s">
        <v>44</v>
      </c>
      <c r="AM64">
        <v>0.72993873678249133</v>
      </c>
      <c r="AN64">
        <v>0.68587177818766287</v>
      </c>
      <c r="AO64">
        <v>0.39036642205345534</v>
      </c>
      <c r="AQ64" t="s">
        <v>44</v>
      </c>
      <c r="AS64">
        <v>0.66592187648382861</v>
      </c>
      <c r="AT64">
        <v>0.74298043508855482</v>
      </c>
      <c r="AU64" s="14">
        <v>0.41311030523172232</v>
      </c>
    </row>
    <row r="65" spans="3:47" x14ac:dyDescent="0.25">
      <c r="C65" s="13">
        <v>0.52648286296443192</v>
      </c>
      <c r="D65">
        <v>0.86302719556388696</v>
      </c>
      <c r="E65">
        <v>0.47468245031867984</v>
      </c>
      <c r="G65" t="s">
        <v>44</v>
      </c>
      <c r="I65">
        <v>0.70515208488063963</v>
      </c>
      <c r="J65">
        <v>0.62061559074519512</v>
      </c>
      <c r="K65">
        <v>0.44244239108059519</v>
      </c>
      <c r="M65" t="s">
        <v>44</v>
      </c>
      <c r="O65">
        <v>0.75836289019254788</v>
      </c>
      <c r="P65">
        <v>0.67912347572672993</v>
      </c>
      <c r="Q65">
        <v>0.36850415066101844</v>
      </c>
      <c r="S65" t="s">
        <v>44</v>
      </c>
      <c r="U65">
        <v>0.45211001466995532</v>
      </c>
      <c r="V65">
        <v>0.8156032797901287</v>
      </c>
      <c r="W65">
        <v>0.58285876514462509</v>
      </c>
      <c r="Y65" t="s">
        <v>44</v>
      </c>
      <c r="AA65">
        <v>0.40390128596856423</v>
      </c>
      <c r="AB65">
        <v>0.6359329669461411</v>
      </c>
      <c r="AC65">
        <v>0.70135253780710938</v>
      </c>
      <c r="AE65" t="s">
        <v>44</v>
      </c>
      <c r="AG65">
        <v>0.36234576534123825</v>
      </c>
      <c r="AH65">
        <v>0.51172729843032694</v>
      </c>
      <c r="AI65">
        <v>0.74185779038268118</v>
      </c>
      <c r="AK65" t="s">
        <v>44</v>
      </c>
      <c r="AM65">
        <v>0.58684481201379479</v>
      </c>
      <c r="AN65">
        <v>0.58641120944937986</v>
      </c>
      <c r="AO65">
        <v>0.55085219153930765</v>
      </c>
      <c r="AQ65" t="s">
        <v>44</v>
      </c>
      <c r="AS65">
        <v>0.57162907903740579</v>
      </c>
      <c r="AT65">
        <v>0.64883736655949309</v>
      </c>
      <c r="AU65" s="14">
        <v>0.54629666168533064</v>
      </c>
    </row>
    <row r="66" spans="3:47" x14ac:dyDescent="0.25">
      <c r="C66" s="13">
        <v>0.86980107984975319</v>
      </c>
      <c r="D66">
        <v>0.49457157266875057</v>
      </c>
      <c r="E66">
        <v>0.26756867521899447</v>
      </c>
      <c r="G66" t="s">
        <v>44</v>
      </c>
      <c r="I66">
        <v>0.80531926512188445</v>
      </c>
      <c r="J66">
        <v>0.58247521023010607</v>
      </c>
      <c r="K66">
        <v>0.33792595915359402</v>
      </c>
      <c r="M66" t="s">
        <v>44</v>
      </c>
      <c r="O66">
        <v>0.70807934877321599</v>
      </c>
      <c r="P66">
        <v>0.70365779233120995</v>
      </c>
      <c r="Q66">
        <v>0.39633893211964888</v>
      </c>
      <c r="S66" t="s">
        <v>44</v>
      </c>
      <c r="U66">
        <v>0.58959155670963359</v>
      </c>
      <c r="V66">
        <v>0.80022868530238611</v>
      </c>
      <c r="W66">
        <v>0.4746807609912887</v>
      </c>
      <c r="Y66" t="s">
        <v>44</v>
      </c>
      <c r="AA66">
        <v>0.73530366483266796</v>
      </c>
      <c r="AB66">
        <v>0.66429086411194949</v>
      </c>
      <c r="AC66">
        <v>0.39057338935158814</v>
      </c>
      <c r="AE66" t="s">
        <v>44</v>
      </c>
      <c r="AG66">
        <v>0.81647956089944429</v>
      </c>
      <c r="AH66">
        <v>0.35308155615557241</v>
      </c>
      <c r="AI66">
        <v>0.23285103090059636</v>
      </c>
      <c r="AK66" t="s">
        <v>44</v>
      </c>
      <c r="AM66">
        <v>0.51386030394131443</v>
      </c>
      <c r="AN66">
        <v>0.61933720866460207</v>
      </c>
      <c r="AO66">
        <v>0.61420676000930041</v>
      </c>
      <c r="AQ66" t="s">
        <v>44</v>
      </c>
      <c r="AS66">
        <v>0.34733536734706755</v>
      </c>
      <c r="AT66">
        <v>0.57602026025365649</v>
      </c>
      <c r="AU66" s="14">
        <v>0.7911934965904911</v>
      </c>
    </row>
    <row r="67" spans="3:47" ht="15.75" thickBot="1" x14ac:dyDescent="0.3">
      <c r="C67" s="15">
        <v>0.32720297764385975</v>
      </c>
      <c r="D67" s="16">
        <v>0.52527875716656658</v>
      </c>
      <c r="E67" s="16">
        <v>0.81230870903185348</v>
      </c>
      <c r="F67" s="16"/>
      <c r="G67" s="16" t="s">
        <v>44</v>
      </c>
      <c r="H67" s="16"/>
      <c r="I67" s="16">
        <v>0.51457171568816351</v>
      </c>
      <c r="J67" s="16">
        <v>0.72980309563858092</v>
      </c>
      <c r="K67" s="16">
        <v>0.60019940274897243</v>
      </c>
      <c r="L67" s="16"/>
      <c r="M67" s="16" t="s">
        <v>44</v>
      </c>
      <c r="N67" s="16"/>
      <c r="O67" s="16">
        <v>0.46159564456695112</v>
      </c>
      <c r="P67" s="16">
        <v>0.70125538916103602</v>
      </c>
      <c r="Q67" s="16">
        <v>0.58251266039740179</v>
      </c>
      <c r="R67" s="16"/>
      <c r="S67" s="16" t="s">
        <v>44</v>
      </c>
      <c r="T67" s="16"/>
      <c r="U67" s="16">
        <v>0.54651046833870398</v>
      </c>
      <c r="V67" s="16">
        <v>0.85109925975566714</v>
      </c>
      <c r="W67" s="16">
        <v>0.48803004237919506</v>
      </c>
      <c r="X67" s="16"/>
      <c r="Y67" s="16" t="s">
        <v>44</v>
      </c>
      <c r="Z67" s="16"/>
      <c r="AA67" s="16">
        <v>0.731144003246056</v>
      </c>
      <c r="AB67" s="16">
        <v>0.70699160366472957</v>
      </c>
      <c r="AC67" s="16">
        <v>0.38471900460213859</v>
      </c>
      <c r="AD67" s="16"/>
      <c r="AE67" s="16" t="s">
        <v>44</v>
      </c>
      <c r="AF67" s="16"/>
      <c r="AG67" s="16">
        <v>0.68523249111929818</v>
      </c>
      <c r="AH67" s="16">
        <v>0.62701237100642182</v>
      </c>
      <c r="AI67" s="16">
        <v>0.45585421995193148</v>
      </c>
      <c r="AJ67" s="16"/>
      <c r="AK67" s="16" t="s">
        <v>44</v>
      </c>
      <c r="AL67" s="16"/>
      <c r="AM67" s="16">
        <v>0.71771460329542625</v>
      </c>
      <c r="AN67" s="16">
        <v>0.58496352538116281</v>
      </c>
      <c r="AO67" s="16">
        <v>0.43273004870390758</v>
      </c>
      <c r="AP67" s="16"/>
      <c r="AQ67" s="16" t="s">
        <v>44</v>
      </c>
      <c r="AR67" s="16"/>
      <c r="AS67" s="16">
        <v>0.77783083520051466</v>
      </c>
      <c r="AT67" s="16">
        <v>0.52004178045214933</v>
      </c>
      <c r="AU67" s="17">
        <v>0.39248343624575582</v>
      </c>
    </row>
    <row r="68" spans="3:47" ht="15.75" thickBot="1" x14ac:dyDescent="0.3"/>
    <row r="69" spans="3:47" x14ac:dyDescent="0.25">
      <c r="C69" s="94" t="s">
        <v>105</v>
      </c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3"/>
    </row>
    <row r="70" spans="3:47" x14ac:dyDescent="0.25">
      <c r="C70" s="13"/>
      <c r="AU70" s="14"/>
    </row>
    <row r="71" spans="3:47" x14ac:dyDescent="0.25">
      <c r="C71" s="13">
        <f>ROUND(C61,4)</f>
        <v>0.71819999999999995</v>
      </c>
      <c r="D71">
        <f t="shared" ref="D71:AU71" si="0">ROUND(D61,4)</f>
        <v>0.69640000000000002</v>
      </c>
      <c r="E71">
        <f t="shared" si="0"/>
        <v>0.4118</v>
      </c>
      <c r="F71">
        <f t="shared" si="0"/>
        <v>0</v>
      </c>
      <c r="G71" t="e">
        <f t="shared" si="0"/>
        <v>#VALUE!</v>
      </c>
      <c r="H71">
        <f t="shared" si="0"/>
        <v>0</v>
      </c>
      <c r="I71">
        <f t="shared" si="0"/>
        <v>0.73</v>
      </c>
      <c r="J71">
        <f t="shared" si="0"/>
        <v>0.61750000000000005</v>
      </c>
      <c r="K71">
        <f t="shared" si="0"/>
        <v>0.40400000000000003</v>
      </c>
      <c r="L71">
        <f t="shared" si="0"/>
        <v>0</v>
      </c>
      <c r="M71" t="e">
        <f t="shared" si="0"/>
        <v>#VALUE!</v>
      </c>
      <c r="N71">
        <f t="shared" si="0"/>
        <v>0</v>
      </c>
      <c r="O71">
        <f t="shared" si="0"/>
        <v>0.4274</v>
      </c>
      <c r="P71">
        <f t="shared" si="0"/>
        <v>0.7127</v>
      </c>
      <c r="Q71">
        <f t="shared" si="0"/>
        <v>0.61660000000000004</v>
      </c>
      <c r="R71">
        <f t="shared" si="0"/>
        <v>0</v>
      </c>
      <c r="S71" t="e">
        <f t="shared" si="0"/>
        <v>#VALUE!</v>
      </c>
      <c r="T71">
        <f t="shared" si="0"/>
        <v>0</v>
      </c>
      <c r="U71">
        <f t="shared" si="0"/>
        <v>0.63439999999999996</v>
      </c>
      <c r="V71">
        <f t="shared" si="0"/>
        <v>0.5575</v>
      </c>
      <c r="W71">
        <f t="shared" si="0"/>
        <v>0.58069999999999999</v>
      </c>
      <c r="X71">
        <f t="shared" si="0"/>
        <v>0</v>
      </c>
      <c r="Y71" t="e">
        <f t="shared" si="0"/>
        <v>#VALUE!</v>
      </c>
      <c r="Z71">
        <f t="shared" si="0"/>
        <v>0</v>
      </c>
      <c r="AA71">
        <f t="shared" si="0"/>
        <v>0.34610000000000002</v>
      </c>
      <c r="AB71">
        <f t="shared" si="0"/>
        <v>0.57820000000000005</v>
      </c>
      <c r="AC71">
        <f t="shared" si="0"/>
        <v>0.79359999999999997</v>
      </c>
      <c r="AD71">
        <f t="shared" si="0"/>
        <v>0</v>
      </c>
      <c r="AE71" t="e">
        <f t="shared" si="0"/>
        <v>#VALUE!</v>
      </c>
      <c r="AF71">
        <f t="shared" si="0"/>
        <v>0</v>
      </c>
      <c r="AG71">
        <f t="shared" si="0"/>
        <v>0.57099999999999995</v>
      </c>
      <c r="AH71">
        <f t="shared" si="0"/>
        <v>0.61060000000000003</v>
      </c>
      <c r="AI71">
        <f t="shared" si="0"/>
        <v>0.57369999999999999</v>
      </c>
      <c r="AJ71">
        <f t="shared" si="0"/>
        <v>0</v>
      </c>
      <c r="AK71" t="e">
        <f t="shared" si="0"/>
        <v>#VALUE!</v>
      </c>
      <c r="AL71">
        <f t="shared" si="0"/>
        <v>0</v>
      </c>
      <c r="AM71">
        <f t="shared" si="0"/>
        <v>0.45660000000000001</v>
      </c>
      <c r="AN71">
        <f t="shared" si="0"/>
        <v>0.56889999999999996</v>
      </c>
      <c r="AO71">
        <f t="shared" si="0"/>
        <v>0.70760000000000001</v>
      </c>
      <c r="AP71">
        <f t="shared" si="0"/>
        <v>0</v>
      </c>
      <c r="AQ71" t="e">
        <f t="shared" si="0"/>
        <v>#VALUE!</v>
      </c>
      <c r="AR71">
        <f t="shared" si="0"/>
        <v>0</v>
      </c>
      <c r="AS71">
        <f t="shared" si="0"/>
        <v>0.63329999999999997</v>
      </c>
      <c r="AT71">
        <f t="shared" si="0"/>
        <v>0.69910000000000005</v>
      </c>
      <c r="AU71" s="14">
        <f t="shared" si="0"/>
        <v>0.48370000000000002</v>
      </c>
    </row>
    <row r="72" spans="3:47" x14ac:dyDescent="0.25">
      <c r="C72" s="13">
        <f t="shared" ref="C72:AU72" si="1">ROUND(C62,4)</f>
        <v>0.59670000000000001</v>
      </c>
      <c r="D72">
        <f t="shared" si="1"/>
        <v>0.65369999999999995</v>
      </c>
      <c r="E72">
        <f t="shared" si="1"/>
        <v>0.5232</v>
      </c>
      <c r="F72">
        <f t="shared" si="1"/>
        <v>0</v>
      </c>
      <c r="G72" t="e">
        <f t="shared" si="1"/>
        <v>#VALUE!</v>
      </c>
      <c r="H72">
        <f t="shared" si="1"/>
        <v>0</v>
      </c>
      <c r="I72">
        <f t="shared" si="1"/>
        <v>0.71350000000000002</v>
      </c>
      <c r="J72">
        <f t="shared" si="1"/>
        <v>0.54520000000000002</v>
      </c>
      <c r="K72">
        <f t="shared" si="1"/>
        <v>0.44579999999999997</v>
      </c>
      <c r="L72">
        <f t="shared" si="1"/>
        <v>0</v>
      </c>
      <c r="M72" t="e">
        <f t="shared" si="1"/>
        <v>#VALUE!</v>
      </c>
      <c r="N72">
        <f t="shared" si="1"/>
        <v>0</v>
      </c>
      <c r="O72">
        <f t="shared" si="1"/>
        <v>0.74850000000000005</v>
      </c>
      <c r="P72">
        <f t="shared" si="1"/>
        <v>0.68879999999999997</v>
      </c>
      <c r="Q72">
        <f t="shared" si="1"/>
        <v>0.38069999999999998</v>
      </c>
      <c r="R72">
        <f t="shared" si="1"/>
        <v>0</v>
      </c>
      <c r="S72" t="e">
        <f t="shared" si="1"/>
        <v>#VALUE!</v>
      </c>
      <c r="T72">
        <f t="shared" si="1"/>
        <v>0</v>
      </c>
      <c r="U72">
        <f t="shared" si="1"/>
        <v>0.67179999999999995</v>
      </c>
      <c r="V72">
        <f t="shared" si="1"/>
        <v>0.50219999999999998</v>
      </c>
      <c r="W72">
        <f t="shared" si="1"/>
        <v>0.50949999999999995</v>
      </c>
      <c r="X72">
        <f t="shared" si="1"/>
        <v>0</v>
      </c>
      <c r="Y72" t="e">
        <f t="shared" si="1"/>
        <v>#VALUE!</v>
      </c>
      <c r="Z72">
        <f t="shared" si="1"/>
        <v>0</v>
      </c>
      <c r="AA72">
        <f t="shared" si="1"/>
        <v>0.5363</v>
      </c>
      <c r="AB72">
        <f t="shared" si="1"/>
        <v>0.48370000000000002</v>
      </c>
      <c r="AC72">
        <f t="shared" si="1"/>
        <v>0.68100000000000005</v>
      </c>
      <c r="AD72">
        <f t="shared" si="1"/>
        <v>0</v>
      </c>
      <c r="AE72" t="e">
        <f t="shared" si="1"/>
        <v>#VALUE!</v>
      </c>
      <c r="AF72">
        <f t="shared" si="1"/>
        <v>0</v>
      </c>
      <c r="AG72">
        <f t="shared" si="1"/>
        <v>0.72589999999999999</v>
      </c>
      <c r="AH72">
        <f t="shared" si="1"/>
        <v>0.60850000000000004</v>
      </c>
      <c r="AI72">
        <f t="shared" si="1"/>
        <v>0.41389999999999999</v>
      </c>
      <c r="AJ72">
        <f t="shared" si="1"/>
        <v>0</v>
      </c>
      <c r="AK72" t="e">
        <f t="shared" si="1"/>
        <v>#VALUE!</v>
      </c>
      <c r="AL72">
        <f t="shared" si="1"/>
        <v>0</v>
      </c>
      <c r="AM72">
        <f t="shared" si="1"/>
        <v>0.71989999999999998</v>
      </c>
      <c r="AN72">
        <f t="shared" si="1"/>
        <v>0.62429999999999997</v>
      </c>
      <c r="AO72">
        <f t="shared" si="1"/>
        <v>0.42809999999999998</v>
      </c>
      <c r="AP72">
        <f t="shared" si="1"/>
        <v>0</v>
      </c>
      <c r="AQ72" t="e">
        <f t="shared" si="1"/>
        <v>#VALUE!</v>
      </c>
      <c r="AR72">
        <f t="shared" si="1"/>
        <v>0</v>
      </c>
      <c r="AS72">
        <f t="shared" si="1"/>
        <v>0.72740000000000005</v>
      </c>
      <c r="AT72">
        <f t="shared" si="1"/>
        <v>0.59519999999999995</v>
      </c>
      <c r="AU72" s="14">
        <f t="shared" si="1"/>
        <v>0.41880000000000001</v>
      </c>
    </row>
    <row r="73" spans="3:47" x14ac:dyDescent="0.25">
      <c r="C73" s="13">
        <f t="shared" ref="C73:AU73" si="2">ROUND(C63,4)</f>
        <v>0.64839999999999998</v>
      </c>
      <c r="D73">
        <f t="shared" si="2"/>
        <v>0.68910000000000005</v>
      </c>
      <c r="E73">
        <f t="shared" si="2"/>
        <v>0.47239999999999999</v>
      </c>
      <c r="F73">
        <f t="shared" si="2"/>
        <v>0</v>
      </c>
      <c r="G73" t="e">
        <f t="shared" si="2"/>
        <v>#VALUE!</v>
      </c>
      <c r="H73">
        <f t="shared" si="2"/>
        <v>0</v>
      </c>
      <c r="I73">
        <f t="shared" si="2"/>
        <v>0.62649999999999995</v>
      </c>
      <c r="J73">
        <f t="shared" si="2"/>
        <v>0.76939999999999997</v>
      </c>
      <c r="K73">
        <f t="shared" si="2"/>
        <v>0.44550000000000001</v>
      </c>
      <c r="L73">
        <f t="shared" si="2"/>
        <v>0</v>
      </c>
      <c r="M73" t="e">
        <f t="shared" si="2"/>
        <v>#VALUE!</v>
      </c>
      <c r="N73">
        <f t="shared" si="2"/>
        <v>0</v>
      </c>
      <c r="O73">
        <f t="shared" si="2"/>
        <v>0.70730000000000004</v>
      </c>
      <c r="P73">
        <f t="shared" si="2"/>
        <v>0.70989999999999998</v>
      </c>
      <c r="Q73">
        <f t="shared" si="2"/>
        <v>0.41720000000000002</v>
      </c>
      <c r="R73">
        <f t="shared" si="2"/>
        <v>0</v>
      </c>
      <c r="S73" t="e">
        <f t="shared" si="2"/>
        <v>#VALUE!</v>
      </c>
      <c r="T73">
        <f t="shared" si="2"/>
        <v>0</v>
      </c>
      <c r="U73">
        <f t="shared" si="2"/>
        <v>0.53420000000000001</v>
      </c>
      <c r="V73">
        <f t="shared" si="2"/>
        <v>0.68720000000000003</v>
      </c>
      <c r="W73">
        <f t="shared" si="2"/>
        <v>0.5585</v>
      </c>
      <c r="X73">
        <f t="shared" si="2"/>
        <v>0</v>
      </c>
      <c r="Y73" t="e">
        <f t="shared" si="2"/>
        <v>#VALUE!</v>
      </c>
      <c r="Z73">
        <f t="shared" si="2"/>
        <v>0</v>
      </c>
      <c r="AA73">
        <f t="shared" si="2"/>
        <v>0.50690000000000002</v>
      </c>
      <c r="AB73">
        <f t="shared" si="2"/>
        <v>0.64349999999999996</v>
      </c>
      <c r="AC73">
        <f t="shared" si="2"/>
        <v>0.59930000000000005</v>
      </c>
      <c r="AD73">
        <f t="shared" si="2"/>
        <v>0</v>
      </c>
      <c r="AE73" t="e">
        <f t="shared" si="2"/>
        <v>#VALUE!</v>
      </c>
      <c r="AF73">
        <f t="shared" si="2"/>
        <v>0</v>
      </c>
      <c r="AG73">
        <f t="shared" si="2"/>
        <v>0.69479999999999997</v>
      </c>
      <c r="AH73">
        <f t="shared" si="2"/>
        <v>0.58150000000000002</v>
      </c>
      <c r="AI73">
        <f t="shared" si="2"/>
        <v>0.46479999999999999</v>
      </c>
      <c r="AJ73">
        <f t="shared" si="2"/>
        <v>0</v>
      </c>
      <c r="AK73" t="e">
        <f t="shared" si="2"/>
        <v>#VALUE!</v>
      </c>
      <c r="AL73">
        <f t="shared" si="2"/>
        <v>0</v>
      </c>
      <c r="AM73">
        <f t="shared" si="2"/>
        <v>0.48420000000000002</v>
      </c>
      <c r="AN73">
        <f t="shared" si="2"/>
        <v>0.56040000000000001</v>
      </c>
      <c r="AO73">
        <f t="shared" si="2"/>
        <v>0.66669999999999996</v>
      </c>
      <c r="AP73">
        <f t="shared" si="2"/>
        <v>0</v>
      </c>
      <c r="AQ73" t="e">
        <f t="shared" si="2"/>
        <v>#VALUE!</v>
      </c>
      <c r="AR73">
        <f t="shared" si="2"/>
        <v>0</v>
      </c>
      <c r="AS73">
        <f t="shared" si="2"/>
        <v>0.74809999999999999</v>
      </c>
      <c r="AT73">
        <f t="shared" si="2"/>
        <v>0.53390000000000004</v>
      </c>
      <c r="AU73" s="14">
        <f t="shared" si="2"/>
        <v>0.47360000000000002</v>
      </c>
    </row>
    <row r="74" spans="3:47" x14ac:dyDescent="0.25">
      <c r="C74" s="13">
        <f t="shared" ref="C74:AU74" si="3">ROUND(C64,4)</f>
        <v>0.92830000000000001</v>
      </c>
      <c r="D74">
        <f t="shared" si="3"/>
        <v>0.2843</v>
      </c>
      <c r="E74">
        <f t="shared" si="3"/>
        <v>0.1177</v>
      </c>
      <c r="F74">
        <f t="shared" si="3"/>
        <v>0</v>
      </c>
      <c r="G74" t="e">
        <f t="shared" si="3"/>
        <v>#VALUE!</v>
      </c>
      <c r="H74">
        <f t="shared" si="3"/>
        <v>0</v>
      </c>
      <c r="I74">
        <f t="shared" si="3"/>
        <v>0.91479999999999995</v>
      </c>
      <c r="J74">
        <f t="shared" si="3"/>
        <v>0.32040000000000002</v>
      </c>
      <c r="K74">
        <f t="shared" si="3"/>
        <v>0.14779999999999999</v>
      </c>
      <c r="L74">
        <f t="shared" si="3"/>
        <v>0</v>
      </c>
      <c r="M74" t="e">
        <f t="shared" si="3"/>
        <v>#VALUE!</v>
      </c>
      <c r="N74">
        <f t="shared" si="3"/>
        <v>0</v>
      </c>
      <c r="O74">
        <f t="shared" si="3"/>
        <v>0.91990000000000005</v>
      </c>
      <c r="P74">
        <f t="shared" si="3"/>
        <v>0.40570000000000001</v>
      </c>
      <c r="Q74">
        <f t="shared" si="3"/>
        <v>0.2049</v>
      </c>
      <c r="R74">
        <f t="shared" si="3"/>
        <v>0</v>
      </c>
      <c r="S74" t="e">
        <f t="shared" si="3"/>
        <v>#VALUE!</v>
      </c>
      <c r="T74">
        <f t="shared" si="3"/>
        <v>0</v>
      </c>
      <c r="U74">
        <f t="shared" si="3"/>
        <v>0.93899999999999995</v>
      </c>
      <c r="V74">
        <f t="shared" si="3"/>
        <v>0.27650000000000002</v>
      </c>
      <c r="W74">
        <f t="shared" si="3"/>
        <v>0.11210000000000001</v>
      </c>
      <c r="X74">
        <f t="shared" si="3"/>
        <v>0</v>
      </c>
      <c r="Y74" t="e">
        <f t="shared" si="3"/>
        <v>#VALUE!</v>
      </c>
      <c r="Z74">
        <f t="shared" si="3"/>
        <v>0</v>
      </c>
      <c r="AA74">
        <f t="shared" si="3"/>
        <v>0.9345</v>
      </c>
      <c r="AB74">
        <f t="shared" si="3"/>
        <v>0.27039999999999997</v>
      </c>
      <c r="AC74">
        <f t="shared" si="3"/>
        <v>0.10780000000000001</v>
      </c>
      <c r="AD74">
        <f t="shared" si="3"/>
        <v>0</v>
      </c>
      <c r="AE74" t="e">
        <f t="shared" si="3"/>
        <v>#VALUE!</v>
      </c>
      <c r="AF74">
        <f t="shared" si="3"/>
        <v>0</v>
      </c>
      <c r="AG74">
        <f t="shared" si="3"/>
        <v>0.93420000000000003</v>
      </c>
      <c r="AH74">
        <f t="shared" si="3"/>
        <v>0.1903</v>
      </c>
      <c r="AI74">
        <f t="shared" si="3"/>
        <v>7.7299999999999994E-2</v>
      </c>
      <c r="AJ74">
        <f t="shared" si="3"/>
        <v>0</v>
      </c>
      <c r="AK74" t="e">
        <f t="shared" si="3"/>
        <v>#VALUE!</v>
      </c>
      <c r="AL74">
        <f t="shared" si="3"/>
        <v>0</v>
      </c>
      <c r="AM74">
        <f t="shared" si="3"/>
        <v>0.72989999999999999</v>
      </c>
      <c r="AN74">
        <f t="shared" si="3"/>
        <v>0.68589999999999995</v>
      </c>
      <c r="AO74">
        <f t="shared" si="3"/>
        <v>0.39040000000000002</v>
      </c>
      <c r="AP74">
        <f t="shared" si="3"/>
        <v>0</v>
      </c>
      <c r="AQ74" t="e">
        <f t="shared" si="3"/>
        <v>#VALUE!</v>
      </c>
      <c r="AR74">
        <f t="shared" si="3"/>
        <v>0</v>
      </c>
      <c r="AS74">
        <f t="shared" si="3"/>
        <v>0.66590000000000005</v>
      </c>
      <c r="AT74">
        <f t="shared" si="3"/>
        <v>0.74299999999999999</v>
      </c>
      <c r="AU74" s="14">
        <f t="shared" si="3"/>
        <v>0.41310000000000002</v>
      </c>
    </row>
    <row r="75" spans="3:47" x14ac:dyDescent="0.25">
      <c r="C75" s="13">
        <f t="shared" ref="C75:AU75" si="4">ROUND(C65,4)</f>
        <v>0.52649999999999997</v>
      </c>
      <c r="D75">
        <f t="shared" si="4"/>
        <v>0.86299999999999999</v>
      </c>
      <c r="E75">
        <f t="shared" si="4"/>
        <v>0.47470000000000001</v>
      </c>
      <c r="F75">
        <f t="shared" si="4"/>
        <v>0</v>
      </c>
      <c r="G75" t="e">
        <f t="shared" si="4"/>
        <v>#VALUE!</v>
      </c>
      <c r="H75">
        <f t="shared" si="4"/>
        <v>0</v>
      </c>
      <c r="I75">
        <f t="shared" si="4"/>
        <v>0.70520000000000005</v>
      </c>
      <c r="J75">
        <f t="shared" si="4"/>
        <v>0.62060000000000004</v>
      </c>
      <c r="K75">
        <f t="shared" si="4"/>
        <v>0.44240000000000002</v>
      </c>
      <c r="L75">
        <f t="shared" si="4"/>
        <v>0</v>
      </c>
      <c r="M75" t="e">
        <f t="shared" si="4"/>
        <v>#VALUE!</v>
      </c>
      <c r="N75">
        <f t="shared" si="4"/>
        <v>0</v>
      </c>
      <c r="O75">
        <f t="shared" si="4"/>
        <v>0.75839999999999996</v>
      </c>
      <c r="P75">
        <f t="shared" si="4"/>
        <v>0.67910000000000004</v>
      </c>
      <c r="Q75">
        <f t="shared" si="4"/>
        <v>0.36849999999999999</v>
      </c>
      <c r="R75">
        <f t="shared" si="4"/>
        <v>0</v>
      </c>
      <c r="S75" t="e">
        <f t="shared" si="4"/>
        <v>#VALUE!</v>
      </c>
      <c r="T75">
        <f t="shared" si="4"/>
        <v>0</v>
      </c>
      <c r="U75">
        <f t="shared" si="4"/>
        <v>0.4521</v>
      </c>
      <c r="V75">
        <f t="shared" si="4"/>
        <v>0.81559999999999999</v>
      </c>
      <c r="W75">
        <f t="shared" si="4"/>
        <v>0.58289999999999997</v>
      </c>
      <c r="X75">
        <f t="shared" si="4"/>
        <v>0</v>
      </c>
      <c r="Y75" t="e">
        <f t="shared" si="4"/>
        <v>#VALUE!</v>
      </c>
      <c r="Z75">
        <f t="shared" si="4"/>
        <v>0</v>
      </c>
      <c r="AA75">
        <f t="shared" si="4"/>
        <v>0.40389999999999998</v>
      </c>
      <c r="AB75">
        <f t="shared" si="4"/>
        <v>0.63590000000000002</v>
      </c>
      <c r="AC75">
        <f t="shared" si="4"/>
        <v>0.70140000000000002</v>
      </c>
      <c r="AD75">
        <f t="shared" si="4"/>
        <v>0</v>
      </c>
      <c r="AE75" t="e">
        <f t="shared" si="4"/>
        <v>#VALUE!</v>
      </c>
      <c r="AF75">
        <f t="shared" si="4"/>
        <v>0</v>
      </c>
      <c r="AG75">
        <f t="shared" si="4"/>
        <v>0.36230000000000001</v>
      </c>
      <c r="AH75">
        <f t="shared" si="4"/>
        <v>0.51170000000000004</v>
      </c>
      <c r="AI75">
        <f t="shared" si="4"/>
        <v>0.7419</v>
      </c>
      <c r="AJ75">
        <f t="shared" si="4"/>
        <v>0</v>
      </c>
      <c r="AK75" t="e">
        <f t="shared" si="4"/>
        <v>#VALUE!</v>
      </c>
      <c r="AL75">
        <f t="shared" si="4"/>
        <v>0</v>
      </c>
      <c r="AM75">
        <f t="shared" si="4"/>
        <v>0.58679999999999999</v>
      </c>
      <c r="AN75">
        <f t="shared" si="4"/>
        <v>0.58640000000000003</v>
      </c>
      <c r="AO75">
        <f t="shared" si="4"/>
        <v>0.55089999999999995</v>
      </c>
      <c r="AP75">
        <f t="shared" si="4"/>
        <v>0</v>
      </c>
      <c r="AQ75" t="e">
        <f t="shared" si="4"/>
        <v>#VALUE!</v>
      </c>
      <c r="AR75">
        <f t="shared" si="4"/>
        <v>0</v>
      </c>
      <c r="AS75">
        <f t="shared" si="4"/>
        <v>0.5716</v>
      </c>
      <c r="AT75">
        <f t="shared" si="4"/>
        <v>0.64880000000000004</v>
      </c>
      <c r="AU75" s="14">
        <f t="shared" si="4"/>
        <v>0.54630000000000001</v>
      </c>
    </row>
    <row r="76" spans="3:47" x14ac:dyDescent="0.25">
      <c r="C76" s="13">
        <f t="shared" ref="C76:AU76" si="5">ROUND(C66,4)</f>
        <v>0.86980000000000002</v>
      </c>
      <c r="D76">
        <f t="shared" si="5"/>
        <v>0.49459999999999998</v>
      </c>
      <c r="E76">
        <f t="shared" si="5"/>
        <v>0.2676</v>
      </c>
      <c r="F76">
        <f t="shared" si="5"/>
        <v>0</v>
      </c>
      <c r="G76" t="e">
        <f t="shared" si="5"/>
        <v>#VALUE!</v>
      </c>
      <c r="H76">
        <f t="shared" si="5"/>
        <v>0</v>
      </c>
      <c r="I76">
        <f t="shared" si="5"/>
        <v>0.80530000000000002</v>
      </c>
      <c r="J76">
        <f t="shared" si="5"/>
        <v>0.58250000000000002</v>
      </c>
      <c r="K76">
        <f t="shared" si="5"/>
        <v>0.33789999999999998</v>
      </c>
      <c r="L76">
        <f t="shared" si="5"/>
        <v>0</v>
      </c>
      <c r="M76" t="e">
        <f t="shared" si="5"/>
        <v>#VALUE!</v>
      </c>
      <c r="N76">
        <f t="shared" si="5"/>
        <v>0</v>
      </c>
      <c r="O76">
        <f t="shared" si="5"/>
        <v>0.70809999999999995</v>
      </c>
      <c r="P76">
        <f t="shared" si="5"/>
        <v>0.70369999999999999</v>
      </c>
      <c r="Q76">
        <f t="shared" si="5"/>
        <v>0.39629999999999999</v>
      </c>
      <c r="R76">
        <f t="shared" si="5"/>
        <v>0</v>
      </c>
      <c r="S76" t="e">
        <f t="shared" si="5"/>
        <v>#VALUE!</v>
      </c>
      <c r="T76">
        <f t="shared" si="5"/>
        <v>0</v>
      </c>
      <c r="U76">
        <f t="shared" si="5"/>
        <v>0.58960000000000001</v>
      </c>
      <c r="V76">
        <f t="shared" si="5"/>
        <v>0.80020000000000002</v>
      </c>
      <c r="W76">
        <f t="shared" si="5"/>
        <v>0.47470000000000001</v>
      </c>
      <c r="X76">
        <f t="shared" si="5"/>
        <v>0</v>
      </c>
      <c r="Y76" t="e">
        <f t="shared" si="5"/>
        <v>#VALUE!</v>
      </c>
      <c r="Z76">
        <f t="shared" si="5"/>
        <v>0</v>
      </c>
      <c r="AA76">
        <f t="shared" si="5"/>
        <v>0.73529999999999995</v>
      </c>
      <c r="AB76">
        <f t="shared" si="5"/>
        <v>0.6643</v>
      </c>
      <c r="AC76">
        <f t="shared" si="5"/>
        <v>0.3906</v>
      </c>
      <c r="AD76">
        <f t="shared" si="5"/>
        <v>0</v>
      </c>
      <c r="AE76" t="e">
        <f t="shared" si="5"/>
        <v>#VALUE!</v>
      </c>
      <c r="AF76">
        <f t="shared" si="5"/>
        <v>0</v>
      </c>
      <c r="AG76">
        <f t="shared" si="5"/>
        <v>0.8165</v>
      </c>
      <c r="AH76">
        <f t="shared" si="5"/>
        <v>0.35310000000000002</v>
      </c>
      <c r="AI76">
        <f t="shared" si="5"/>
        <v>0.2329</v>
      </c>
      <c r="AJ76">
        <f t="shared" si="5"/>
        <v>0</v>
      </c>
      <c r="AK76" t="e">
        <f t="shared" si="5"/>
        <v>#VALUE!</v>
      </c>
      <c r="AL76">
        <f t="shared" si="5"/>
        <v>0</v>
      </c>
      <c r="AM76">
        <f t="shared" si="5"/>
        <v>0.51390000000000002</v>
      </c>
      <c r="AN76">
        <f t="shared" si="5"/>
        <v>0.61929999999999996</v>
      </c>
      <c r="AO76">
        <f t="shared" si="5"/>
        <v>0.61419999999999997</v>
      </c>
      <c r="AP76">
        <f t="shared" si="5"/>
        <v>0</v>
      </c>
      <c r="AQ76" t="e">
        <f t="shared" si="5"/>
        <v>#VALUE!</v>
      </c>
      <c r="AR76">
        <f t="shared" si="5"/>
        <v>0</v>
      </c>
      <c r="AS76">
        <f t="shared" si="5"/>
        <v>0.3473</v>
      </c>
      <c r="AT76">
        <f t="shared" si="5"/>
        <v>0.57599999999999996</v>
      </c>
      <c r="AU76" s="14">
        <f t="shared" si="5"/>
        <v>0.79120000000000001</v>
      </c>
    </row>
    <row r="77" spans="3:47" ht="15.75" thickBot="1" x14ac:dyDescent="0.3">
      <c r="C77" s="15">
        <f t="shared" ref="C77:AU77" si="6">ROUND(C67,4)</f>
        <v>0.32719999999999999</v>
      </c>
      <c r="D77" s="16">
        <f t="shared" si="6"/>
        <v>0.52529999999999999</v>
      </c>
      <c r="E77" s="16">
        <f t="shared" si="6"/>
        <v>0.81230000000000002</v>
      </c>
      <c r="F77" s="16">
        <f t="shared" si="6"/>
        <v>0</v>
      </c>
      <c r="G77" s="16" t="e">
        <f t="shared" si="6"/>
        <v>#VALUE!</v>
      </c>
      <c r="H77" s="16">
        <f t="shared" si="6"/>
        <v>0</v>
      </c>
      <c r="I77" s="16">
        <f t="shared" si="6"/>
        <v>0.51459999999999995</v>
      </c>
      <c r="J77" s="16">
        <f t="shared" si="6"/>
        <v>0.7298</v>
      </c>
      <c r="K77" s="16">
        <f t="shared" si="6"/>
        <v>0.60019999999999996</v>
      </c>
      <c r="L77" s="16">
        <f t="shared" si="6"/>
        <v>0</v>
      </c>
      <c r="M77" s="16" t="e">
        <f t="shared" si="6"/>
        <v>#VALUE!</v>
      </c>
      <c r="N77" s="16">
        <f t="shared" si="6"/>
        <v>0</v>
      </c>
      <c r="O77" s="16">
        <f t="shared" si="6"/>
        <v>0.46160000000000001</v>
      </c>
      <c r="P77" s="16">
        <f t="shared" si="6"/>
        <v>0.70130000000000003</v>
      </c>
      <c r="Q77" s="16">
        <f t="shared" si="6"/>
        <v>0.58250000000000002</v>
      </c>
      <c r="R77" s="16">
        <f t="shared" si="6"/>
        <v>0</v>
      </c>
      <c r="S77" s="16" t="e">
        <f t="shared" si="6"/>
        <v>#VALUE!</v>
      </c>
      <c r="T77" s="16">
        <f t="shared" si="6"/>
        <v>0</v>
      </c>
      <c r="U77" s="16">
        <f t="shared" si="6"/>
        <v>0.54649999999999999</v>
      </c>
      <c r="V77" s="16">
        <f t="shared" si="6"/>
        <v>0.85109999999999997</v>
      </c>
      <c r="W77" s="16">
        <f t="shared" si="6"/>
        <v>0.48799999999999999</v>
      </c>
      <c r="X77" s="16">
        <f t="shared" si="6"/>
        <v>0</v>
      </c>
      <c r="Y77" s="16" t="e">
        <f t="shared" si="6"/>
        <v>#VALUE!</v>
      </c>
      <c r="Z77" s="16">
        <f t="shared" si="6"/>
        <v>0</v>
      </c>
      <c r="AA77" s="16">
        <f t="shared" si="6"/>
        <v>0.73109999999999997</v>
      </c>
      <c r="AB77" s="16">
        <f t="shared" si="6"/>
        <v>0.70699999999999996</v>
      </c>
      <c r="AC77" s="16">
        <f t="shared" si="6"/>
        <v>0.38469999999999999</v>
      </c>
      <c r="AD77" s="16">
        <f t="shared" si="6"/>
        <v>0</v>
      </c>
      <c r="AE77" s="16" t="e">
        <f t="shared" si="6"/>
        <v>#VALUE!</v>
      </c>
      <c r="AF77" s="16">
        <f t="shared" si="6"/>
        <v>0</v>
      </c>
      <c r="AG77" s="16">
        <f t="shared" si="6"/>
        <v>0.68520000000000003</v>
      </c>
      <c r="AH77" s="16">
        <f t="shared" si="6"/>
        <v>0.627</v>
      </c>
      <c r="AI77" s="16">
        <f t="shared" si="6"/>
        <v>0.45590000000000003</v>
      </c>
      <c r="AJ77" s="16">
        <f t="shared" si="6"/>
        <v>0</v>
      </c>
      <c r="AK77" s="16" t="e">
        <f t="shared" si="6"/>
        <v>#VALUE!</v>
      </c>
      <c r="AL77" s="16">
        <f t="shared" si="6"/>
        <v>0</v>
      </c>
      <c r="AM77" s="16">
        <f t="shared" si="6"/>
        <v>0.7177</v>
      </c>
      <c r="AN77" s="16">
        <f t="shared" si="6"/>
        <v>0.58499999999999996</v>
      </c>
      <c r="AO77" s="16">
        <f t="shared" si="6"/>
        <v>0.43269999999999997</v>
      </c>
      <c r="AP77" s="16">
        <f t="shared" si="6"/>
        <v>0</v>
      </c>
      <c r="AQ77" s="16" t="e">
        <f t="shared" si="6"/>
        <v>#VALUE!</v>
      </c>
      <c r="AR77" s="16">
        <f t="shared" si="6"/>
        <v>0</v>
      </c>
      <c r="AS77" s="16">
        <f t="shared" si="6"/>
        <v>0.77780000000000005</v>
      </c>
      <c r="AT77" s="16">
        <f t="shared" si="6"/>
        <v>0.52</v>
      </c>
      <c r="AU77" s="17">
        <f t="shared" si="6"/>
        <v>0.39250000000000002</v>
      </c>
    </row>
    <row r="79" spans="3:47" ht="15.75" thickBot="1" x14ac:dyDescent="0.3"/>
    <row r="80" spans="3:47" x14ac:dyDescent="0.25">
      <c r="C80" s="94" t="s">
        <v>106</v>
      </c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3"/>
    </row>
    <row r="81" spans="3:47" x14ac:dyDescent="0.25">
      <c r="C81" s="91" t="s">
        <v>120</v>
      </c>
      <c r="D81" s="89"/>
      <c r="E81" s="89"/>
      <c r="I81" s="91" t="s">
        <v>119</v>
      </c>
      <c r="J81" s="89"/>
      <c r="K81" s="89"/>
      <c r="O81" s="91" t="s">
        <v>122</v>
      </c>
      <c r="P81" s="89"/>
      <c r="Q81" s="89"/>
      <c r="U81" s="91" t="s">
        <v>118</v>
      </c>
      <c r="V81" s="89"/>
      <c r="W81" s="89"/>
      <c r="AA81" s="91" t="s">
        <v>121</v>
      </c>
      <c r="AB81" s="89"/>
      <c r="AC81" s="89"/>
      <c r="AG81" s="91" t="s">
        <v>117</v>
      </c>
      <c r="AH81" s="89"/>
      <c r="AI81" s="89"/>
      <c r="AM81" s="91" t="s">
        <v>116</v>
      </c>
      <c r="AN81" s="89"/>
      <c r="AO81" s="89"/>
      <c r="AS81" s="91" t="s">
        <v>115</v>
      </c>
      <c r="AT81" s="89"/>
      <c r="AU81" s="89"/>
    </row>
    <row r="82" spans="3:47" x14ac:dyDescent="0.25">
      <c r="C82" s="13">
        <v>0.71819999999999995</v>
      </c>
      <c r="D82">
        <v>0.69640000000000002</v>
      </c>
      <c r="E82">
        <v>0.4118</v>
      </c>
      <c r="F82">
        <v>0</v>
      </c>
      <c r="G82" t="e">
        <v>#VALUE!</v>
      </c>
      <c r="H82">
        <v>0</v>
      </c>
      <c r="I82">
        <v>0.73</v>
      </c>
      <c r="J82">
        <v>0.61750000000000005</v>
      </c>
      <c r="K82">
        <v>0.40400000000000003</v>
      </c>
      <c r="L82">
        <v>0</v>
      </c>
      <c r="M82" t="e">
        <v>#VALUE!</v>
      </c>
      <c r="N82">
        <v>0</v>
      </c>
      <c r="O82">
        <v>0.4274</v>
      </c>
      <c r="P82">
        <v>0.7127</v>
      </c>
      <c r="Q82">
        <v>0.61660000000000004</v>
      </c>
      <c r="R82">
        <v>0</v>
      </c>
      <c r="S82" t="e">
        <v>#VALUE!</v>
      </c>
      <c r="T82">
        <v>0</v>
      </c>
      <c r="U82">
        <v>0.63439999999999996</v>
      </c>
      <c r="V82">
        <v>0.5575</v>
      </c>
      <c r="W82">
        <v>0.58069999999999999</v>
      </c>
      <c r="X82">
        <v>0</v>
      </c>
      <c r="Y82" t="e">
        <v>#VALUE!</v>
      </c>
      <c r="Z82">
        <v>0</v>
      </c>
      <c r="AA82">
        <v>0.34610000000000002</v>
      </c>
      <c r="AB82">
        <v>0.57820000000000005</v>
      </c>
      <c r="AC82">
        <v>0.79359999999999997</v>
      </c>
      <c r="AD82">
        <v>0</v>
      </c>
      <c r="AE82" t="e">
        <v>#VALUE!</v>
      </c>
      <c r="AF82">
        <v>0</v>
      </c>
      <c r="AG82">
        <v>0.57099999999999995</v>
      </c>
      <c r="AH82">
        <v>0.61060000000000003</v>
      </c>
      <c r="AI82">
        <v>0.57369999999999999</v>
      </c>
      <c r="AJ82">
        <v>0</v>
      </c>
      <c r="AK82" t="e">
        <v>#VALUE!</v>
      </c>
      <c r="AL82">
        <v>0</v>
      </c>
      <c r="AM82">
        <v>0.45660000000000001</v>
      </c>
      <c r="AN82">
        <v>0.56889999999999996</v>
      </c>
      <c r="AO82">
        <v>0.70760000000000001</v>
      </c>
      <c r="AP82">
        <v>0</v>
      </c>
      <c r="AQ82" t="e">
        <v>#VALUE!</v>
      </c>
      <c r="AR82">
        <v>0</v>
      </c>
      <c r="AS82">
        <v>0.63329999999999997</v>
      </c>
      <c r="AT82">
        <v>0.69910000000000005</v>
      </c>
      <c r="AU82" s="14">
        <v>0.48370000000000002</v>
      </c>
    </row>
    <row r="83" spans="3:47" x14ac:dyDescent="0.25">
      <c r="C83" s="13">
        <v>0.59670000000000001</v>
      </c>
      <c r="D83">
        <v>0.65369999999999995</v>
      </c>
      <c r="E83">
        <v>0.5232</v>
      </c>
      <c r="F83">
        <v>0</v>
      </c>
      <c r="G83" t="e">
        <v>#VALUE!</v>
      </c>
      <c r="H83">
        <v>0</v>
      </c>
      <c r="I83">
        <v>0.71350000000000002</v>
      </c>
      <c r="J83">
        <v>0.54520000000000002</v>
      </c>
      <c r="K83">
        <v>0.44579999999999997</v>
      </c>
      <c r="L83">
        <v>0</v>
      </c>
      <c r="M83" t="e">
        <v>#VALUE!</v>
      </c>
      <c r="N83">
        <v>0</v>
      </c>
      <c r="O83">
        <v>0.74850000000000005</v>
      </c>
      <c r="P83">
        <v>0.68879999999999997</v>
      </c>
      <c r="Q83">
        <v>0.38069999999999998</v>
      </c>
      <c r="R83">
        <v>0</v>
      </c>
      <c r="S83" t="e">
        <v>#VALUE!</v>
      </c>
      <c r="T83">
        <v>0</v>
      </c>
      <c r="U83">
        <v>0.67179999999999995</v>
      </c>
      <c r="V83">
        <v>0.50219999999999998</v>
      </c>
      <c r="W83">
        <v>0.50949999999999995</v>
      </c>
      <c r="X83">
        <v>0</v>
      </c>
      <c r="Y83" t="e">
        <v>#VALUE!</v>
      </c>
      <c r="Z83">
        <v>0</v>
      </c>
      <c r="AA83">
        <v>0.5363</v>
      </c>
      <c r="AB83">
        <v>0.48370000000000002</v>
      </c>
      <c r="AC83">
        <v>0.68100000000000005</v>
      </c>
      <c r="AD83">
        <v>0</v>
      </c>
      <c r="AE83" t="e">
        <v>#VALUE!</v>
      </c>
      <c r="AF83">
        <v>0</v>
      </c>
      <c r="AG83">
        <v>0.72589999999999999</v>
      </c>
      <c r="AH83">
        <v>0.60850000000000004</v>
      </c>
      <c r="AI83">
        <v>0.41389999999999999</v>
      </c>
      <c r="AJ83">
        <v>0</v>
      </c>
      <c r="AK83" t="e">
        <v>#VALUE!</v>
      </c>
      <c r="AL83">
        <v>0</v>
      </c>
      <c r="AM83">
        <v>0.71989999999999998</v>
      </c>
      <c r="AN83">
        <v>0.62429999999999997</v>
      </c>
      <c r="AO83">
        <v>0.42809999999999998</v>
      </c>
      <c r="AP83">
        <v>0</v>
      </c>
      <c r="AQ83" t="e">
        <v>#VALUE!</v>
      </c>
      <c r="AR83">
        <v>0</v>
      </c>
      <c r="AS83">
        <v>0.72740000000000005</v>
      </c>
      <c r="AT83">
        <v>0.59519999999999995</v>
      </c>
      <c r="AU83" s="14">
        <v>0.41880000000000001</v>
      </c>
    </row>
    <row r="84" spans="3:47" x14ac:dyDescent="0.25">
      <c r="C84" s="13">
        <v>0.64839999999999998</v>
      </c>
      <c r="D84">
        <v>0.68910000000000005</v>
      </c>
      <c r="E84">
        <v>0.47239999999999999</v>
      </c>
      <c r="F84">
        <v>0</v>
      </c>
      <c r="G84" t="e">
        <v>#VALUE!</v>
      </c>
      <c r="H84">
        <v>0</v>
      </c>
      <c r="I84">
        <v>0.62649999999999995</v>
      </c>
      <c r="J84">
        <v>0.76939999999999997</v>
      </c>
      <c r="K84">
        <v>0.44550000000000001</v>
      </c>
      <c r="L84">
        <v>0</v>
      </c>
      <c r="M84" t="e">
        <v>#VALUE!</v>
      </c>
      <c r="N84">
        <v>0</v>
      </c>
      <c r="O84">
        <v>0.70730000000000004</v>
      </c>
      <c r="P84">
        <v>0.70989999999999998</v>
      </c>
      <c r="Q84">
        <v>0.41720000000000002</v>
      </c>
      <c r="R84">
        <v>0</v>
      </c>
      <c r="S84" t="e">
        <v>#VALUE!</v>
      </c>
      <c r="T84">
        <v>0</v>
      </c>
      <c r="U84">
        <v>0.53420000000000001</v>
      </c>
      <c r="V84">
        <v>0.68720000000000003</v>
      </c>
      <c r="W84">
        <v>0.5585</v>
      </c>
      <c r="X84">
        <v>0</v>
      </c>
      <c r="Y84" t="e">
        <v>#VALUE!</v>
      </c>
      <c r="Z84">
        <v>0</v>
      </c>
      <c r="AA84">
        <v>0.50690000000000002</v>
      </c>
      <c r="AB84">
        <v>0.64349999999999996</v>
      </c>
      <c r="AC84">
        <v>0.59930000000000005</v>
      </c>
      <c r="AD84">
        <v>0</v>
      </c>
      <c r="AE84" t="e">
        <v>#VALUE!</v>
      </c>
      <c r="AF84">
        <v>0</v>
      </c>
      <c r="AG84">
        <v>0.69479999999999997</v>
      </c>
      <c r="AH84">
        <v>0.58150000000000002</v>
      </c>
      <c r="AI84">
        <v>0.46479999999999999</v>
      </c>
      <c r="AJ84">
        <v>0</v>
      </c>
      <c r="AK84" t="e">
        <v>#VALUE!</v>
      </c>
      <c r="AL84">
        <v>0</v>
      </c>
      <c r="AM84">
        <v>0.48420000000000002</v>
      </c>
      <c r="AN84">
        <v>0.56040000000000001</v>
      </c>
      <c r="AO84">
        <v>0.66669999999999996</v>
      </c>
      <c r="AP84">
        <v>0</v>
      </c>
      <c r="AQ84" t="e">
        <v>#VALUE!</v>
      </c>
      <c r="AR84">
        <v>0</v>
      </c>
      <c r="AS84">
        <v>0.74809999999999999</v>
      </c>
      <c r="AT84">
        <v>0.53390000000000004</v>
      </c>
      <c r="AU84" s="14">
        <v>0.47360000000000002</v>
      </c>
    </row>
    <row r="85" spans="3:47" x14ac:dyDescent="0.25">
      <c r="C85" s="13">
        <v>0.92830000000000001</v>
      </c>
      <c r="D85">
        <v>0.2843</v>
      </c>
      <c r="E85">
        <v>0.1177</v>
      </c>
      <c r="F85">
        <v>0</v>
      </c>
      <c r="G85" t="e">
        <v>#VALUE!</v>
      </c>
      <c r="H85">
        <v>0</v>
      </c>
      <c r="I85">
        <v>0.91479999999999995</v>
      </c>
      <c r="J85">
        <v>0.32040000000000002</v>
      </c>
      <c r="K85">
        <v>0.14779999999999999</v>
      </c>
      <c r="L85">
        <v>0</v>
      </c>
      <c r="M85" t="e">
        <v>#VALUE!</v>
      </c>
      <c r="N85">
        <v>0</v>
      </c>
      <c r="O85">
        <v>0.91990000000000005</v>
      </c>
      <c r="P85">
        <v>0.40570000000000001</v>
      </c>
      <c r="Q85">
        <v>0.2049</v>
      </c>
      <c r="R85">
        <v>0</v>
      </c>
      <c r="S85" t="e">
        <v>#VALUE!</v>
      </c>
      <c r="T85">
        <v>0</v>
      </c>
      <c r="U85">
        <v>0.93899999999999995</v>
      </c>
      <c r="V85">
        <v>0.27650000000000002</v>
      </c>
      <c r="W85">
        <v>0.11210000000000001</v>
      </c>
      <c r="X85">
        <v>0</v>
      </c>
      <c r="Y85" t="e">
        <v>#VALUE!</v>
      </c>
      <c r="Z85">
        <v>0</v>
      </c>
      <c r="AA85">
        <v>0.9345</v>
      </c>
      <c r="AB85">
        <v>0.27039999999999997</v>
      </c>
      <c r="AC85">
        <v>0.10780000000000001</v>
      </c>
      <c r="AD85">
        <v>0</v>
      </c>
      <c r="AE85" t="e">
        <v>#VALUE!</v>
      </c>
      <c r="AF85">
        <v>0</v>
      </c>
      <c r="AG85">
        <v>0.93420000000000003</v>
      </c>
      <c r="AH85">
        <v>0.1903</v>
      </c>
      <c r="AI85">
        <v>7.7299999999999994E-2</v>
      </c>
      <c r="AJ85">
        <v>0</v>
      </c>
      <c r="AK85" t="e">
        <v>#VALUE!</v>
      </c>
      <c r="AL85">
        <v>0</v>
      </c>
      <c r="AM85">
        <v>0.72989999999999999</v>
      </c>
      <c r="AN85">
        <v>0.68589999999999995</v>
      </c>
      <c r="AO85">
        <v>0.39040000000000002</v>
      </c>
      <c r="AP85">
        <v>0</v>
      </c>
      <c r="AQ85" t="e">
        <v>#VALUE!</v>
      </c>
      <c r="AR85">
        <v>0</v>
      </c>
      <c r="AS85">
        <v>0.66590000000000005</v>
      </c>
      <c r="AT85">
        <v>0.74299999999999999</v>
      </c>
      <c r="AU85" s="14">
        <v>0.41310000000000002</v>
      </c>
    </row>
    <row r="86" spans="3:47" x14ac:dyDescent="0.25">
      <c r="C86" s="13">
        <v>0.52649999999999997</v>
      </c>
      <c r="D86">
        <v>0.86299999999999999</v>
      </c>
      <c r="E86">
        <v>0.47470000000000001</v>
      </c>
      <c r="F86">
        <v>0</v>
      </c>
      <c r="G86" t="e">
        <v>#VALUE!</v>
      </c>
      <c r="H86">
        <v>0</v>
      </c>
      <c r="I86">
        <v>0.70520000000000005</v>
      </c>
      <c r="J86">
        <v>0.62060000000000004</v>
      </c>
      <c r="K86">
        <v>0.44240000000000002</v>
      </c>
      <c r="L86">
        <v>0</v>
      </c>
      <c r="M86" t="e">
        <v>#VALUE!</v>
      </c>
      <c r="N86">
        <v>0</v>
      </c>
      <c r="O86">
        <v>0.75839999999999996</v>
      </c>
      <c r="P86">
        <v>0.67910000000000004</v>
      </c>
      <c r="Q86">
        <v>0.36849999999999999</v>
      </c>
      <c r="R86">
        <v>0</v>
      </c>
      <c r="S86" t="e">
        <v>#VALUE!</v>
      </c>
      <c r="T86">
        <v>0</v>
      </c>
      <c r="U86">
        <v>0.4521</v>
      </c>
      <c r="V86">
        <v>0.81559999999999999</v>
      </c>
      <c r="W86">
        <v>0.58289999999999997</v>
      </c>
      <c r="X86">
        <v>0</v>
      </c>
      <c r="Y86" t="e">
        <v>#VALUE!</v>
      </c>
      <c r="Z86">
        <v>0</v>
      </c>
      <c r="AA86">
        <v>0.40389999999999998</v>
      </c>
      <c r="AB86">
        <v>0.63590000000000002</v>
      </c>
      <c r="AC86">
        <v>0.70140000000000002</v>
      </c>
      <c r="AD86">
        <v>0</v>
      </c>
      <c r="AE86" t="e">
        <v>#VALUE!</v>
      </c>
      <c r="AF86">
        <v>0</v>
      </c>
      <c r="AG86">
        <v>0.36230000000000001</v>
      </c>
      <c r="AH86">
        <v>0.51170000000000004</v>
      </c>
      <c r="AI86">
        <v>0.7419</v>
      </c>
      <c r="AJ86">
        <v>0</v>
      </c>
      <c r="AK86" t="e">
        <v>#VALUE!</v>
      </c>
      <c r="AL86">
        <v>0</v>
      </c>
      <c r="AM86">
        <v>0.58679999999999999</v>
      </c>
      <c r="AN86">
        <v>0.58640000000000003</v>
      </c>
      <c r="AO86">
        <v>0.55089999999999995</v>
      </c>
      <c r="AP86">
        <v>0</v>
      </c>
      <c r="AQ86" t="e">
        <v>#VALUE!</v>
      </c>
      <c r="AR86">
        <v>0</v>
      </c>
      <c r="AS86">
        <v>0.5716</v>
      </c>
      <c r="AT86">
        <v>0.64880000000000004</v>
      </c>
      <c r="AU86" s="14">
        <v>0.54630000000000001</v>
      </c>
    </row>
    <row r="87" spans="3:47" x14ac:dyDescent="0.25">
      <c r="C87" s="13">
        <v>0.86980000000000002</v>
      </c>
      <c r="D87">
        <v>0.49459999999999998</v>
      </c>
      <c r="E87">
        <v>0.2676</v>
      </c>
      <c r="F87">
        <v>0</v>
      </c>
      <c r="G87" t="e">
        <v>#VALUE!</v>
      </c>
      <c r="H87">
        <v>0</v>
      </c>
      <c r="I87">
        <v>0.80530000000000002</v>
      </c>
      <c r="J87">
        <v>0.58250000000000002</v>
      </c>
      <c r="K87">
        <v>0.33789999999999998</v>
      </c>
      <c r="L87">
        <v>0</v>
      </c>
      <c r="M87" t="e">
        <v>#VALUE!</v>
      </c>
      <c r="N87">
        <v>0</v>
      </c>
      <c r="O87">
        <v>0.70809999999999995</v>
      </c>
      <c r="P87">
        <v>0.70369999999999999</v>
      </c>
      <c r="Q87">
        <v>0.39629999999999999</v>
      </c>
      <c r="R87">
        <v>0</v>
      </c>
      <c r="S87" t="e">
        <v>#VALUE!</v>
      </c>
      <c r="T87">
        <v>0</v>
      </c>
      <c r="U87">
        <v>0.58960000000000001</v>
      </c>
      <c r="V87">
        <v>0.80020000000000002</v>
      </c>
      <c r="W87">
        <v>0.47470000000000001</v>
      </c>
      <c r="X87">
        <v>0</v>
      </c>
      <c r="Y87" t="e">
        <v>#VALUE!</v>
      </c>
      <c r="Z87">
        <v>0</v>
      </c>
      <c r="AA87">
        <v>0.73529999999999995</v>
      </c>
      <c r="AB87">
        <v>0.6643</v>
      </c>
      <c r="AC87">
        <v>0.3906</v>
      </c>
      <c r="AD87">
        <v>0</v>
      </c>
      <c r="AE87" t="e">
        <v>#VALUE!</v>
      </c>
      <c r="AF87">
        <v>0</v>
      </c>
      <c r="AG87">
        <v>0.8165</v>
      </c>
      <c r="AH87">
        <v>0.35310000000000002</v>
      </c>
      <c r="AI87">
        <v>0.2329</v>
      </c>
      <c r="AJ87">
        <v>0</v>
      </c>
      <c r="AK87" t="e">
        <v>#VALUE!</v>
      </c>
      <c r="AL87">
        <v>0</v>
      </c>
      <c r="AM87">
        <v>0.51390000000000002</v>
      </c>
      <c r="AN87">
        <v>0.61929999999999996</v>
      </c>
      <c r="AO87">
        <v>0.61419999999999997</v>
      </c>
      <c r="AP87">
        <v>0</v>
      </c>
      <c r="AQ87" t="e">
        <v>#VALUE!</v>
      </c>
      <c r="AR87">
        <v>0</v>
      </c>
      <c r="AS87">
        <v>0.3473</v>
      </c>
      <c r="AT87">
        <v>0.57599999999999996</v>
      </c>
      <c r="AU87" s="14">
        <v>0.79120000000000001</v>
      </c>
    </row>
    <row r="88" spans="3:47" ht="15.75" thickBot="1" x14ac:dyDescent="0.3">
      <c r="C88" s="15">
        <v>0.32719999999999999</v>
      </c>
      <c r="D88" s="16">
        <v>0.52529999999999999</v>
      </c>
      <c r="E88" s="16">
        <v>0.81230000000000002</v>
      </c>
      <c r="F88" s="16">
        <v>0</v>
      </c>
      <c r="G88" s="16" t="e">
        <v>#VALUE!</v>
      </c>
      <c r="H88" s="16">
        <v>0</v>
      </c>
      <c r="I88" s="16">
        <v>0.51459999999999995</v>
      </c>
      <c r="J88" s="16">
        <v>0.7298</v>
      </c>
      <c r="K88" s="16">
        <v>0.60019999999999996</v>
      </c>
      <c r="L88" s="16">
        <v>0</v>
      </c>
      <c r="M88" s="16" t="e">
        <v>#VALUE!</v>
      </c>
      <c r="N88" s="16">
        <v>0</v>
      </c>
      <c r="O88" s="16">
        <v>0.46160000000000001</v>
      </c>
      <c r="P88" s="16">
        <v>0.70130000000000003</v>
      </c>
      <c r="Q88" s="16">
        <v>0.58250000000000002</v>
      </c>
      <c r="R88" s="16">
        <v>0</v>
      </c>
      <c r="S88" s="16" t="e">
        <v>#VALUE!</v>
      </c>
      <c r="T88" s="16">
        <v>0</v>
      </c>
      <c r="U88" s="16">
        <v>0.54649999999999999</v>
      </c>
      <c r="V88" s="16">
        <v>0.85109999999999997</v>
      </c>
      <c r="W88" s="16">
        <v>0.48799999999999999</v>
      </c>
      <c r="X88" s="16">
        <v>0</v>
      </c>
      <c r="Y88" s="16" t="e">
        <v>#VALUE!</v>
      </c>
      <c r="Z88" s="16">
        <v>0</v>
      </c>
      <c r="AA88" s="16">
        <v>0.73109999999999997</v>
      </c>
      <c r="AB88" s="16">
        <v>0.70699999999999996</v>
      </c>
      <c r="AC88" s="16">
        <v>0.38469999999999999</v>
      </c>
      <c r="AD88" s="16">
        <v>0</v>
      </c>
      <c r="AE88" s="16" t="e">
        <v>#VALUE!</v>
      </c>
      <c r="AF88" s="16">
        <v>0</v>
      </c>
      <c r="AG88" s="16">
        <v>0.68520000000000003</v>
      </c>
      <c r="AH88" s="16">
        <v>0.627</v>
      </c>
      <c r="AI88" s="16">
        <v>0.45590000000000003</v>
      </c>
      <c r="AJ88" s="16">
        <v>0</v>
      </c>
      <c r="AK88" s="16" t="e">
        <v>#VALUE!</v>
      </c>
      <c r="AL88" s="16">
        <v>0</v>
      </c>
      <c r="AM88" s="16">
        <v>0.7177</v>
      </c>
      <c r="AN88" s="16">
        <v>0.58499999999999996</v>
      </c>
      <c r="AO88" s="16">
        <v>0.43269999999999997</v>
      </c>
      <c r="AP88" s="16">
        <v>0</v>
      </c>
      <c r="AQ88" s="16" t="e">
        <v>#VALUE!</v>
      </c>
      <c r="AR88" s="16">
        <v>0</v>
      </c>
      <c r="AS88" s="16">
        <v>0.77780000000000005</v>
      </c>
      <c r="AT88" s="16">
        <v>0.52</v>
      </c>
      <c r="AU88" s="17">
        <v>0.39250000000000002</v>
      </c>
    </row>
    <row r="90" spans="3:47" ht="15.75" thickBot="1" x14ac:dyDescent="0.3"/>
    <row r="91" spans="3:47" x14ac:dyDescent="0.25">
      <c r="C91" s="94" t="s">
        <v>123</v>
      </c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3"/>
    </row>
    <row r="92" spans="3:47" x14ac:dyDescent="0.25">
      <c r="C92" s="13"/>
      <c r="AU92" s="14"/>
    </row>
    <row r="93" spans="3:47" x14ac:dyDescent="0.25">
      <c r="C93" s="13">
        <v>0.71819999999999995</v>
      </c>
      <c r="D93">
        <v>0.69640000000000002</v>
      </c>
      <c r="E93">
        <v>0.4118</v>
      </c>
      <c r="F93">
        <v>0</v>
      </c>
      <c r="G93" t="e">
        <v>#VALUE!</v>
      </c>
      <c r="H93">
        <v>0</v>
      </c>
      <c r="I93">
        <v>0.73</v>
      </c>
      <c r="J93">
        <v>0.61750000000000005</v>
      </c>
      <c r="K93">
        <v>0.40400000000000003</v>
      </c>
      <c r="L93">
        <v>0</v>
      </c>
      <c r="M93" t="e">
        <v>#VALUE!</v>
      </c>
      <c r="N93">
        <v>0</v>
      </c>
      <c r="O93">
        <v>0.61660000000000004</v>
      </c>
      <c r="P93">
        <v>0.7127</v>
      </c>
      <c r="Q93">
        <v>0.4274</v>
      </c>
      <c r="R93">
        <v>0</v>
      </c>
      <c r="S93" t="e">
        <v>#VALUE!</v>
      </c>
      <c r="T93">
        <v>0</v>
      </c>
      <c r="U93">
        <v>0.63439999999999996</v>
      </c>
      <c r="V93">
        <v>0.5575</v>
      </c>
      <c r="W93">
        <v>0.58069999999999999</v>
      </c>
      <c r="X93">
        <v>0</v>
      </c>
      <c r="Y93" t="e">
        <v>#VALUE!</v>
      </c>
      <c r="Z93">
        <v>0</v>
      </c>
      <c r="AA93">
        <v>0.79359999999999997</v>
      </c>
      <c r="AB93">
        <v>0.57820000000000005</v>
      </c>
      <c r="AC93">
        <v>0.34610000000000002</v>
      </c>
      <c r="AD93">
        <v>0</v>
      </c>
      <c r="AE93" t="e">
        <v>#VALUE!</v>
      </c>
      <c r="AF93">
        <v>0</v>
      </c>
      <c r="AG93">
        <v>0.57099999999999995</v>
      </c>
      <c r="AH93">
        <v>0.61060000000000003</v>
      </c>
      <c r="AI93">
        <v>0.57369999999999999</v>
      </c>
      <c r="AJ93">
        <v>0</v>
      </c>
      <c r="AK93" t="e">
        <v>#VALUE!</v>
      </c>
      <c r="AL93">
        <v>0</v>
      </c>
      <c r="AM93">
        <v>0.45660000000000001</v>
      </c>
      <c r="AN93">
        <v>0.56889999999999996</v>
      </c>
      <c r="AO93">
        <v>0.70760000000000001</v>
      </c>
      <c r="AP93">
        <v>0</v>
      </c>
      <c r="AQ93" t="e">
        <v>#VALUE!</v>
      </c>
      <c r="AR93">
        <v>0</v>
      </c>
      <c r="AS93">
        <v>0.48370000000000002</v>
      </c>
      <c r="AT93">
        <v>0.69910000000000005</v>
      </c>
      <c r="AU93" s="14">
        <v>0.63329999999999997</v>
      </c>
    </row>
    <row r="94" spans="3:47" x14ac:dyDescent="0.25">
      <c r="C94" s="13">
        <v>0.59670000000000001</v>
      </c>
      <c r="D94">
        <v>0.65369999999999995</v>
      </c>
      <c r="E94">
        <v>0.5232</v>
      </c>
      <c r="F94">
        <v>0</v>
      </c>
      <c r="G94" t="e">
        <v>#VALUE!</v>
      </c>
      <c r="H94">
        <v>0</v>
      </c>
      <c r="I94">
        <v>0.71350000000000002</v>
      </c>
      <c r="J94">
        <v>0.54520000000000002</v>
      </c>
      <c r="K94">
        <v>0.44579999999999997</v>
      </c>
      <c r="L94">
        <v>0</v>
      </c>
      <c r="M94" t="e">
        <v>#VALUE!</v>
      </c>
      <c r="N94">
        <v>0</v>
      </c>
      <c r="O94">
        <v>0.38069999999999998</v>
      </c>
      <c r="P94">
        <v>0.68879999999999997</v>
      </c>
      <c r="Q94">
        <v>0.74850000000000005</v>
      </c>
      <c r="R94">
        <v>0</v>
      </c>
      <c r="S94" t="e">
        <v>#VALUE!</v>
      </c>
      <c r="T94">
        <v>0</v>
      </c>
      <c r="U94">
        <v>0.67179999999999995</v>
      </c>
      <c r="V94">
        <v>0.50219999999999998</v>
      </c>
      <c r="W94">
        <v>0.50949999999999995</v>
      </c>
      <c r="X94">
        <v>0</v>
      </c>
      <c r="Y94" t="e">
        <v>#VALUE!</v>
      </c>
      <c r="Z94">
        <v>0</v>
      </c>
      <c r="AA94">
        <v>0.68100000000000005</v>
      </c>
      <c r="AB94">
        <v>0.48370000000000002</v>
      </c>
      <c r="AC94">
        <v>0.5363</v>
      </c>
      <c r="AD94">
        <v>0</v>
      </c>
      <c r="AE94" t="e">
        <v>#VALUE!</v>
      </c>
      <c r="AF94">
        <v>0</v>
      </c>
      <c r="AG94">
        <v>0.72589999999999999</v>
      </c>
      <c r="AH94">
        <v>0.60850000000000004</v>
      </c>
      <c r="AI94">
        <v>0.41389999999999999</v>
      </c>
      <c r="AJ94">
        <v>0</v>
      </c>
      <c r="AK94" t="e">
        <v>#VALUE!</v>
      </c>
      <c r="AL94">
        <v>0</v>
      </c>
      <c r="AM94">
        <v>0.71989999999999998</v>
      </c>
      <c r="AN94">
        <v>0.62429999999999997</v>
      </c>
      <c r="AO94">
        <v>0.42809999999999998</v>
      </c>
      <c r="AP94">
        <v>0</v>
      </c>
      <c r="AQ94" t="e">
        <v>#VALUE!</v>
      </c>
      <c r="AR94">
        <v>0</v>
      </c>
      <c r="AS94">
        <v>0.41880000000000001</v>
      </c>
      <c r="AT94">
        <v>0.59519999999999995</v>
      </c>
      <c r="AU94" s="14">
        <v>0.72740000000000005</v>
      </c>
    </row>
    <row r="95" spans="3:47" x14ac:dyDescent="0.25">
      <c r="C95" s="13">
        <v>0.64839999999999998</v>
      </c>
      <c r="D95">
        <v>0.68910000000000005</v>
      </c>
      <c r="E95">
        <v>0.47239999999999999</v>
      </c>
      <c r="F95">
        <v>0</v>
      </c>
      <c r="G95" t="e">
        <v>#VALUE!</v>
      </c>
      <c r="H95">
        <v>0</v>
      </c>
      <c r="I95">
        <v>0.62649999999999995</v>
      </c>
      <c r="J95">
        <v>0.76939999999999997</v>
      </c>
      <c r="K95">
        <v>0.44550000000000001</v>
      </c>
      <c r="L95">
        <v>0</v>
      </c>
      <c r="M95" t="e">
        <v>#VALUE!</v>
      </c>
      <c r="N95">
        <v>0</v>
      </c>
      <c r="O95">
        <v>0.41720000000000002</v>
      </c>
      <c r="P95">
        <v>0.70989999999999998</v>
      </c>
      <c r="Q95">
        <v>0.70730000000000004</v>
      </c>
      <c r="R95">
        <v>0</v>
      </c>
      <c r="S95" t="e">
        <v>#VALUE!</v>
      </c>
      <c r="T95">
        <v>0</v>
      </c>
      <c r="U95">
        <v>0.53420000000000001</v>
      </c>
      <c r="V95">
        <v>0.68720000000000003</v>
      </c>
      <c r="W95">
        <v>0.5585</v>
      </c>
      <c r="X95">
        <v>0</v>
      </c>
      <c r="Y95" t="e">
        <v>#VALUE!</v>
      </c>
      <c r="Z95">
        <v>0</v>
      </c>
      <c r="AA95">
        <v>0.59930000000000005</v>
      </c>
      <c r="AB95">
        <v>0.64349999999999996</v>
      </c>
      <c r="AC95">
        <v>0.50690000000000002</v>
      </c>
      <c r="AD95">
        <v>0</v>
      </c>
      <c r="AE95" t="e">
        <v>#VALUE!</v>
      </c>
      <c r="AF95">
        <v>0</v>
      </c>
      <c r="AG95">
        <v>0.69479999999999997</v>
      </c>
      <c r="AH95">
        <v>0.58150000000000002</v>
      </c>
      <c r="AI95">
        <v>0.46479999999999999</v>
      </c>
      <c r="AJ95">
        <v>0</v>
      </c>
      <c r="AK95" t="e">
        <v>#VALUE!</v>
      </c>
      <c r="AL95">
        <v>0</v>
      </c>
      <c r="AM95">
        <v>0.48420000000000002</v>
      </c>
      <c r="AN95">
        <v>0.56040000000000001</v>
      </c>
      <c r="AO95">
        <v>0.66669999999999996</v>
      </c>
      <c r="AP95">
        <v>0</v>
      </c>
      <c r="AQ95" t="e">
        <v>#VALUE!</v>
      </c>
      <c r="AR95">
        <v>0</v>
      </c>
      <c r="AS95">
        <v>0.47360000000000002</v>
      </c>
      <c r="AT95">
        <v>0.53390000000000004</v>
      </c>
      <c r="AU95" s="14">
        <v>0.74809999999999999</v>
      </c>
    </row>
    <row r="96" spans="3:47" x14ac:dyDescent="0.25">
      <c r="C96" s="13">
        <v>0.92830000000000001</v>
      </c>
      <c r="D96">
        <v>0.2843</v>
      </c>
      <c r="E96">
        <v>0.1177</v>
      </c>
      <c r="F96">
        <v>0</v>
      </c>
      <c r="G96" t="e">
        <v>#VALUE!</v>
      </c>
      <c r="H96">
        <v>0</v>
      </c>
      <c r="I96">
        <v>0.91479999999999995</v>
      </c>
      <c r="J96">
        <v>0.32040000000000002</v>
      </c>
      <c r="K96">
        <v>0.14779999999999999</v>
      </c>
      <c r="L96">
        <v>0</v>
      </c>
      <c r="M96" t="e">
        <v>#VALUE!</v>
      </c>
      <c r="N96">
        <v>0</v>
      </c>
      <c r="O96">
        <v>0.2049</v>
      </c>
      <c r="P96">
        <v>0.40570000000000001</v>
      </c>
      <c r="Q96">
        <v>0.91990000000000005</v>
      </c>
      <c r="R96">
        <v>0</v>
      </c>
      <c r="S96" t="e">
        <v>#VALUE!</v>
      </c>
      <c r="T96">
        <v>0</v>
      </c>
      <c r="U96">
        <v>0.93899999999999995</v>
      </c>
      <c r="V96">
        <v>0.27650000000000002</v>
      </c>
      <c r="W96">
        <v>0.11210000000000001</v>
      </c>
      <c r="X96">
        <v>0</v>
      </c>
      <c r="Y96" t="e">
        <v>#VALUE!</v>
      </c>
      <c r="Z96">
        <v>0</v>
      </c>
      <c r="AA96">
        <v>0.10780000000000001</v>
      </c>
      <c r="AB96">
        <v>0.27039999999999997</v>
      </c>
      <c r="AC96">
        <v>0.9345</v>
      </c>
      <c r="AD96">
        <v>0</v>
      </c>
      <c r="AE96" t="e">
        <v>#VALUE!</v>
      </c>
      <c r="AF96">
        <v>0</v>
      </c>
      <c r="AG96">
        <v>0.93420000000000003</v>
      </c>
      <c r="AH96">
        <v>0.1903</v>
      </c>
      <c r="AI96">
        <v>7.7299999999999994E-2</v>
      </c>
      <c r="AJ96">
        <v>0</v>
      </c>
      <c r="AK96" t="e">
        <v>#VALUE!</v>
      </c>
      <c r="AL96">
        <v>0</v>
      </c>
      <c r="AM96">
        <v>0.72989999999999999</v>
      </c>
      <c r="AN96">
        <v>0.68589999999999995</v>
      </c>
      <c r="AO96">
        <v>0.39040000000000002</v>
      </c>
      <c r="AP96">
        <v>0</v>
      </c>
      <c r="AQ96" t="e">
        <v>#VALUE!</v>
      </c>
      <c r="AR96">
        <v>0</v>
      </c>
      <c r="AS96">
        <v>0.41310000000000002</v>
      </c>
      <c r="AT96">
        <v>0.74299999999999999</v>
      </c>
      <c r="AU96" s="14">
        <v>0.66590000000000005</v>
      </c>
    </row>
    <row r="97" spans="3:47" x14ac:dyDescent="0.25">
      <c r="C97" s="13">
        <v>0.52649999999999997</v>
      </c>
      <c r="D97">
        <v>0.86299999999999999</v>
      </c>
      <c r="E97">
        <v>0.47470000000000001</v>
      </c>
      <c r="F97">
        <v>0</v>
      </c>
      <c r="G97" t="e">
        <v>#VALUE!</v>
      </c>
      <c r="H97">
        <v>0</v>
      </c>
      <c r="I97">
        <v>0.70520000000000005</v>
      </c>
      <c r="J97">
        <v>0.62060000000000004</v>
      </c>
      <c r="K97">
        <v>0.44240000000000002</v>
      </c>
      <c r="L97">
        <v>0</v>
      </c>
      <c r="M97" t="e">
        <v>#VALUE!</v>
      </c>
      <c r="N97">
        <v>0</v>
      </c>
      <c r="O97">
        <v>0.36849999999999999</v>
      </c>
      <c r="P97">
        <v>0.67910000000000004</v>
      </c>
      <c r="Q97">
        <v>0.75839999999999996</v>
      </c>
      <c r="R97">
        <v>0</v>
      </c>
      <c r="S97" t="e">
        <v>#VALUE!</v>
      </c>
      <c r="T97">
        <v>0</v>
      </c>
      <c r="U97">
        <v>0.4521</v>
      </c>
      <c r="V97">
        <v>0.81559999999999999</v>
      </c>
      <c r="W97">
        <v>0.58289999999999997</v>
      </c>
      <c r="X97">
        <v>0</v>
      </c>
      <c r="Y97" t="e">
        <v>#VALUE!</v>
      </c>
      <c r="Z97">
        <v>0</v>
      </c>
      <c r="AA97">
        <v>0.70140000000000002</v>
      </c>
      <c r="AB97">
        <v>0.63590000000000002</v>
      </c>
      <c r="AC97">
        <v>0.40389999999999998</v>
      </c>
      <c r="AD97">
        <v>0</v>
      </c>
      <c r="AE97" t="e">
        <v>#VALUE!</v>
      </c>
      <c r="AF97">
        <v>0</v>
      </c>
      <c r="AG97">
        <v>0.36230000000000001</v>
      </c>
      <c r="AH97">
        <v>0.51170000000000004</v>
      </c>
      <c r="AI97">
        <v>0.7419</v>
      </c>
      <c r="AJ97">
        <v>0</v>
      </c>
      <c r="AK97" t="e">
        <v>#VALUE!</v>
      </c>
      <c r="AL97">
        <v>0</v>
      </c>
      <c r="AM97">
        <v>0.58679999999999999</v>
      </c>
      <c r="AN97">
        <v>0.58640000000000003</v>
      </c>
      <c r="AO97">
        <v>0.55089999999999995</v>
      </c>
      <c r="AP97">
        <v>0</v>
      </c>
      <c r="AQ97" t="e">
        <v>#VALUE!</v>
      </c>
      <c r="AR97">
        <v>0</v>
      </c>
      <c r="AS97">
        <v>0.54630000000000001</v>
      </c>
      <c r="AT97">
        <v>0.64880000000000004</v>
      </c>
      <c r="AU97" s="14">
        <v>0.5716</v>
      </c>
    </row>
    <row r="98" spans="3:47" x14ac:dyDescent="0.25">
      <c r="C98" s="13">
        <v>0.86980000000000002</v>
      </c>
      <c r="D98">
        <v>0.49459999999999998</v>
      </c>
      <c r="E98">
        <v>0.2676</v>
      </c>
      <c r="F98">
        <v>0</v>
      </c>
      <c r="G98" t="e">
        <v>#VALUE!</v>
      </c>
      <c r="H98">
        <v>0</v>
      </c>
      <c r="I98">
        <v>0.80530000000000002</v>
      </c>
      <c r="J98">
        <v>0.58250000000000002</v>
      </c>
      <c r="K98">
        <v>0.33789999999999998</v>
      </c>
      <c r="L98">
        <v>0</v>
      </c>
      <c r="M98" t="e">
        <v>#VALUE!</v>
      </c>
      <c r="N98">
        <v>0</v>
      </c>
      <c r="O98">
        <v>0.39629999999999999</v>
      </c>
      <c r="P98">
        <v>0.70369999999999999</v>
      </c>
      <c r="Q98">
        <v>0.70809999999999995</v>
      </c>
      <c r="R98">
        <v>0</v>
      </c>
      <c r="S98" t="e">
        <v>#VALUE!</v>
      </c>
      <c r="T98">
        <v>0</v>
      </c>
      <c r="U98">
        <v>0.58960000000000001</v>
      </c>
      <c r="V98">
        <v>0.80020000000000002</v>
      </c>
      <c r="W98">
        <v>0.47470000000000001</v>
      </c>
      <c r="X98">
        <v>0</v>
      </c>
      <c r="Y98" t="e">
        <v>#VALUE!</v>
      </c>
      <c r="Z98">
        <v>0</v>
      </c>
      <c r="AA98">
        <v>0.3906</v>
      </c>
      <c r="AB98">
        <v>0.6643</v>
      </c>
      <c r="AC98">
        <v>0.73529999999999995</v>
      </c>
      <c r="AD98">
        <v>0</v>
      </c>
      <c r="AE98" t="e">
        <v>#VALUE!</v>
      </c>
      <c r="AF98">
        <v>0</v>
      </c>
      <c r="AG98">
        <v>0.8165</v>
      </c>
      <c r="AH98">
        <v>0.35310000000000002</v>
      </c>
      <c r="AI98">
        <v>0.2329</v>
      </c>
      <c r="AJ98">
        <v>0</v>
      </c>
      <c r="AK98" t="e">
        <v>#VALUE!</v>
      </c>
      <c r="AL98">
        <v>0</v>
      </c>
      <c r="AM98">
        <v>0.51390000000000002</v>
      </c>
      <c r="AN98">
        <v>0.61929999999999996</v>
      </c>
      <c r="AO98">
        <v>0.61419999999999997</v>
      </c>
      <c r="AP98">
        <v>0</v>
      </c>
      <c r="AQ98" t="e">
        <v>#VALUE!</v>
      </c>
      <c r="AR98">
        <v>0</v>
      </c>
      <c r="AS98">
        <v>0.79120000000000001</v>
      </c>
      <c r="AT98">
        <v>0.57599999999999996</v>
      </c>
      <c r="AU98" s="14">
        <v>0.3473</v>
      </c>
    </row>
    <row r="99" spans="3:47" ht="15.75" thickBot="1" x14ac:dyDescent="0.3">
      <c r="C99" s="15">
        <v>0.32719999999999999</v>
      </c>
      <c r="D99" s="16">
        <v>0.52529999999999999</v>
      </c>
      <c r="E99" s="16">
        <v>0.81230000000000002</v>
      </c>
      <c r="F99" s="16">
        <v>0</v>
      </c>
      <c r="G99" s="16" t="e">
        <v>#VALUE!</v>
      </c>
      <c r="H99" s="16">
        <v>0</v>
      </c>
      <c r="I99" s="16">
        <v>0.51459999999999995</v>
      </c>
      <c r="J99" s="16">
        <v>0.7298</v>
      </c>
      <c r="K99" s="16">
        <v>0.60019999999999996</v>
      </c>
      <c r="L99" s="16">
        <v>0</v>
      </c>
      <c r="M99" s="16" t="e">
        <v>#VALUE!</v>
      </c>
      <c r="N99" s="16">
        <v>0</v>
      </c>
      <c r="O99" s="16">
        <v>0.58250000000000002</v>
      </c>
      <c r="P99" s="16">
        <v>0.70130000000000003</v>
      </c>
      <c r="Q99" s="16">
        <v>0.46160000000000001</v>
      </c>
      <c r="R99" s="16">
        <v>0</v>
      </c>
      <c r="S99" s="16" t="e">
        <v>#VALUE!</v>
      </c>
      <c r="T99" s="16">
        <v>0</v>
      </c>
      <c r="U99" s="16">
        <v>0.54649999999999999</v>
      </c>
      <c r="V99" s="16">
        <v>0.85109999999999997</v>
      </c>
      <c r="W99" s="16">
        <v>0.48799999999999999</v>
      </c>
      <c r="X99" s="16">
        <v>0</v>
      </c>
      <c r="Y99" s="16" t="e">
        <v>#VALUE!</v>
      </c>
      <c r="Z99" s="16">
        <v>0</v>
      </c>
      <c r="AA99" s="16">
        <v>0.38469999999999999</v>
      </c>
      <c r="AB99" s="16">
        <v>0.70699999999999996</v>
      </c>
      <c r="AC99" s="16">
        <v>0.73109999999999997</v>
      </c>
      <c r="AD99" s="16">
        <v>0</v>
      </c>
      <c r="AE99" s="16" t="e">
        <v>#VALUE!</v>
      </c>
      <c r="AF99" s="16">
        <v>0</v>
      </c>
      <c r="AG99" s="16">
        <v>0.68520000000000003</v>
      </c>
      <c r="AH99" s="16">
        <v>0.627</v>
      </c>
      <c r="AI99" s="16">
        <v>0.45590000000000003</v>
      </c>
      <c r="AJ99" s="16">
        <v>0</v>
      </c>
      <c r="AK99" s="16" t="e">
        <v>#VALUE!</v>
      </c>
      <c r="AL99" s="16">
        <v>0</v>
      </c>
      <c r="AM99" s="16">
        <v>0.7177</v>
      </c>
      <c r="AN99" s="16">
        <v>0.58499999999999996</v>
      </c>
      <c r="AO99" s="16">
        <v>0.43269999999999997</v>
      </c>
      <c r="AP99" s="16">
        <v>0</v>
      </c>
      <c r="AQ99" s="16" t="e">
        <v>#VALUE!</v>
      </c>
      <c r="AR99" s="16">
        <v>0</v>
      </c>
      <c r="AS99" s="16">
        <v>0.39250000000000002</v>
      </c>
      <c r="AT99" s="16">
        <v>0.52</v>
      </c>
      <c r="AU99" s="17">
        <v>0.77780000000000005</v>
      </c>
    </row>
  </sheetData>
  <mergeCells count="125">
    <mergeCell ref="U81:W81"/>
    <mergeCell ref="AA81:AC81"/>
    <mergeCell ref="AG81:AI81"/>
    <mergeCell ref="AM81:AO81"/>
    <mergeCell ref="AS81:AU81"/>
    <mergeCell ref="C91:AU91"/>
    <mergeCell ref="A40:B40"/>
    <mergeCell ref="C40:E40"/>
    <mergeCell ref="G40:H40"/>
    <mergeCell ref="I40:K40"/>
    <mergeCell ref="M40:N40"/>
    <mergeCell ref="O40:Q40"/>
    <mergeCell ref="S40:T40"/>
    <mergeCell ref="C81:E81"/>
    <mergeCell ref="I81:K81"/>
    <mergeCell ref="O81:Q81"/>
    <mergeCell ref="A47:B47"/>
    <mergeCell ref="C47:E47"/>
    <mergeCell ref="G47:H47"/>
    <mergeCell ref="I47:K47"/>
    <mergeCell ref="M47:N47"/>
    <mergeCell ref="O47:Q47"/>
    <mergeCell ref="S47:T47"/>
    <mergeCell ref="U47:W47"/>
    <mergeCell ref="AE19:AF19"/>
    <mergeCell ref="AG19:AI19"/>
    <mergeCell ref="AK19:AL19"/>
    <mergeCell ref="AM19:AO19"/>
    <mergeCell ref="AQ19:AR19"/>
    <mergeCell ref="AS19:AU19"/>
    <mergeCell ref="AE26:AF26"/>
    <mergeCell ref="AS47:AU47"/>
    <mergeCell ref="AS40:AU40"/>
    <mergeCell ref="AE47:AF47"/>
    <mergeCell ref="AG47:AI47"/>
    <mergeCell ref="AK47:AL47"/>
    <mergeCell ref="AM47:AO47"/>
    <mergeCell ref="AQ47:AR47"/>
    <mergeCell ref="AM40:AO40"/>
    <mergeCell ref="AG33:AI33"/>
    <mergeCell ref="AK33:AL33"/>
    <mergeCell ref="AM33:AO33"/>
    <mergeCell ref="AS5:AU5"/>
    <mergeCell ref="AE12:AF12"/>
    <mergeCell ref="AG12:AI12"/>
    <mergeCell ref="AK12:AL12"/>
    <mergeCell ref="AM12:AO12"/>
    <mergeCell ref="AQ12:AR12"/>
    <mergeCell ref="AS12:AU12"/>
    <mergeCell ref="AE5:AF5"/>
    <mergeCell ref="AG5:AI5"/>
    <mergeCell ref="AK5:AL5"/>
    <mergeCell ref="AM5:AO5"/>
    <mergeCell ref="AQ5:AR5"/>
    <mergeCell ref="O19:Q19"/>
    <mergeCell ref="S19:T19"/>
    <mergeCell ref="U19:W19"/>
    <mergeCell ref="Y19:Z19"/>
    <mergeCell ref="AA12:AC12"/>
    <mergeCell ref="AA19:AC19"/>
    <mergeCell ref="AA26:AC26"/>
    <mergeCell ref="A12:B12"/>
    <mergeCell ref="C12:E12"/>
    <mergeCell ref="G12:H12"/>
    <mergeCell ref="I12:K12"/>
    <mergeCell ref="M12:N12"/>
    <mergeCell ref="O12:Q12"/>
    <mergeCell ref="S12:T12"/>
    <mergeCell ref="U12:W12"/>
    <mergeCell ref="Y12:Z12"/>
    <mergeCell ref="A19:B19"/>
    <mergeCell ref="C19:E19"/>
    <mergeCell ref="G19:H19"/>
    <mergeCell ref="I19:K19"/>
    <mergeCell ref="M19:N19"/>
    <mergeCell ref="A2:AC2"/>
    <mergeCell ref="A5:B5"/>
    <mergeCell ref="C5:E5"/>
    <mergeCell ref="G5:H5"/>
    <mergeCell ref="I5:K5"/>
    <mergeCell ref="M5:N5"/>
    <mergeCell ref="O5:Q5"/>
    <mergeCell ref="S5:T5"/>
    <mergeCell ref="U5:W5"/>
    <mergeCell ref="Y5:Z5"/>
    <mergeCell ref="AA5:AC5"/>
    <mergeCell ref="C69:AU69"/>
    <mergeCell ref="A26:B26"/>
    <mergeCell ref="C26:E26"/>
    <mergeCell ref="G26:H26"/>
    <mergeCell ref="I26:K26"/>
    <mergeCell ref="AA40:AC40"/>
    <mergeCell ref="AE40:AF40"/>
    <mergeCell ref="AG40:AI40"/>
    <mergeCell ref="AK40:AL40"/>
    <mergeCell ref="A33:B33"/>
    <mergeCell ref="C33:E33"/>
    <mergeCell ref="G33:H33"/>
    <mergeCell ref="I33:K33"/>
    <mergeCell ref="M33:N33"/>
    <mergeCell ref="Y47:Z47"/>
    <mergeCell ref="C80:AU80"/>
    <mergeCell ref="M26:N26"/>
    <mergeCell ref="O26:Q26"/>
    <mergeCell ref="S26:T26"/>
    <mergeCell ref="U26:W26"/>
    <mergeCell ref="Y26:Z26"/>
    <mergeCell ref="AQ40:AR40"/>
    <mergeCell ref="AQ33:AR33"/>
    <mergeCell ref="O33:Q33"/>
    <mergeCell ref="S33:T33"/>
    <mergeCell ref="U33:W33"/>
    <mergeCell ref="U40:W40"/>
    <mergeCell ref="Y40:Z40"/>
    <mergeCell ref="AG26:AI26"/>
    <mergeCell ref="AK26:AL26"/>
    <mergeCell ref="AM26:AO26"/>
    <mergeCell ref="Y33:Z33"/>
    <mergeCell ref="AA33:AC33"/>
    <mergeCell ref="AS33:AU33"/>
    <mergeCell ref="AE33:AF33"/>
    <mergeCell ref="AQ26:AR26"/>
    <mergeCell ref="AS26:AU26"/>
    <mergeCell ref="AA47:AC47"/>
    <mergeCell ref="C59:AU5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77C9-E41F-4306-836C-194989483489}">
  <dimension ref="A14:AU46"/>
  <sheetViews>
    <sheetView topLeftCell="C22" zoomScale="90" zoomScaleNormal="90" workbookViewId="0">
      <selection activeCell="AS36" sqref="AS36:AU36"/>
    </sheetView>
  </sheetViews>
  <sheetFormatPr defaultRowHeight="15" outlineLevelCol="1" x14ac:dyDescent="0.25"/>
  <cols>
    <col min="1" max="2" width="9.140625" hidden="1" customWidth="1" outlineLevel="1"/>
    <col min="3" max="3" width="9.140625" collapsed="1"/>
    <col min="6" max="8" width="0" hidden="1" customWidth="1" outlineLevel="1"/>
    <col min="9" max="9" width="9.140625" collapsed="1"/>
    <col min="12" max="14" width="0" hidden="1" customWidth="1" outlineLevel="1"/>
    <col min="15" max="15" width="9.140625" collapsed="1"/>
    <col min="18" max="20" width="0" hidden="1" customWidth="1" outlineLevel="1"/>
    <col min="21" max="21" width="9.140625" collapsed="1"/>
    <col min="24" max="26" width="0" hidden="1" customWidth="1" outlineLevel="1"/>
    <col min="27" max="27" width="9.140625" collapsed="1"/>
    <col min="30" max="32" width="0" hidden="1" customWidth="1" outlineLevel="1"/>
    <col min="33" max="33" width="9.140625" collapsed="1"/>
    <col min="36" max="38" width="0" hidden="1" customWidth="1" outlineLevel="1"/>
    <col min="39" max="39" width="9.140625" collapsed="1"/>
    <col min="42" max="44" width="9.140625" hidden="1" customWidth="1" outlineLevel="1"/>
    <col min="45" max="45" width="9.140625" collapsed="1"/>
  </cols>
  <sheetData>
    <row r="14" spans="1:47" ht="15.75" thickBot="1" x14ac:dyDescent="0.3"/>
    <row r="15" spans="1:47" x14ac:dyDescent="0.25">
      <c r="A15" s="94" t="s">
        <v>43</v>
      </c>
      <c r="B15" s="92"/>
      <c r="C15" s="101" t="s">
        <v>107</v>
      </c>
      <c r="D15" s="101"/>
      <c r="E15" s="101"/>
      <c r="F15" s="23"/>
      <c r="G15" s="92" t="s">
        <v>43</v>
      </c>
      <c r="H15" s="92"/>
      <c r="I15" s="101" t="s">
        <v>108</v>
      </c>
      <c r="J15" s="101"/>
      <c r="K15" s="101"/>
      <c r="L15" s="23"/>
      <c r="M15" s="92" t="s">
        <v>43</v>
      </c>
      <c r="N15" s="92"/>
      <c r="O15" s="101" t="s">
        <v>109</v>
      </c>
      <c r="P15" s="101"/>
      <c r="Q15" s="101"/>
      <c r="R15" s="23"/>
      <c r="S15" s="92" t="s">
        <v>43</v>
      </c>
      <c r="T15" s="92"/>
      <c r="U15" s="101" t="s">
        <v>110</v>
      </c>
      <c r="V15" s="101"/>
      <c r="W15" s="101"/>
      <c r="X15" s="23"/>
      <c r="Y15" s="92" t="s">
        <v>43</v>
      </c>
      <c r="Z15" s="92"/>
      <c r="AA15" s="101" t="s">
        <v>111</v>
      </c>
      <c r="AB15" s="101"/>
      <c r="AC15" s="101"/>
      <c r="AD15" s="12"/>
      <c r="AE15" s="92" t="s">
        <v>43</v>
      </c>
      <c r="AF15" s="92"/>
      <c r="AG15" s="101" t="s">
        <v>112</v>
      </c>
      <c r="AH15" s="101"/>
      <c r="AI15" s="101"/>
      <c r="AJ15" s="23"/>
      <c r="AK15" s="92" t="s">
        <v>43</v>
      </c>
      <c r="AL15" s="92"/>
      <c r="AM15" s="101" t="s">
        <v>113</v>
      </c>
      <c r="AN15" s="101"/>
      <c r="AO15" s="101"/>
      <c r="AP15" s="23"/>
      <c r="AQ15" s="92" t="s">
        <v>43</v>
      </c>
      <c r="AR15" s="92"/>
      <c r="AS15" s="101" t="s">
        <v>114</v>
      </c>
      <c r="AT15" s="101"/>
      <c r="AU15" s="101"/>
    </row>
    <row r="16" spans="1:47" x14ac:dyDescent="0.25">
      <c r="A16" s="13" t="s">
        <v>25</v>
      </c>
      <c r="B16">
        <v>0.24299999999999999</v>
      </c>
      <c r="C16" s="48">
        <v>0.92</v>
      </c>
      <c r="D16" s="48">
        <v>0.25</v>
      </c>
      <c r="E16" s="48">
        <v>0.11</v>
      </c>
      <c r="F16" s="10"/>
      <c r="G16" t="s">
        <v>25</v>
      </c>
      <c r="H16">
        <v>0.24299999999999999</v>
      </c>
      <c r="I16" s="48">
        <v>0.92</v>
      </c>
      <c r="J16" s="48">
        <v>0.25</v>
      </c>
      <c r="K16" s="48">
        <v>0.11</v>
      </c>
      <c r="L16" s="10"/>
      <c r="M16" t="s">
        <v>25</v>
      </c>
      <c r="N16">
        <v>0.24299999999999999</v>
      </c>
      <c r="O16" s="48">
        <v>0.5</v>
      </c>
      <c r="P16" s="48">
        <v>0.55000000000000004</v>
      </c>
      <c r="Q16" s="48">
        <v>0.5</v>
      </c>
      <c r="R16" s="10"/>
      <c r="S16" t="s">
        <v>25</v>
      </c>
      <c r="T16">
        <v>0.24299999999999999</v>
      </c>
      <c r="U16" s="48">
        <v>0.64</v>
      </c>
      <c r="V16" s="48">
        <v>0.42</v>
      </c>
      <c r="W16" s="48">
        <v>0.37</v>
      </c>
      <c r="X16" s="10"/>
      <c r="Y16" t="s">
        <v>25</v>
      </c>
      <c r="Z16">
        <v>0.24299999999999999</v>
      </c>
      <c r="AA16" s="48">
        <v>0.5</v>
      </c>
      <c r="AB16" s="48">
        <v>0.55000000000000004</v>
      </c>
      <c r="AC16" s="48">
        <v>0.5</v>
      </c>
      <c r="AE16" t="s">
        <v>25</v>
      </c>
      <c r="AF16">
        <v>0.24299999999999999</v>
      </c>
      <c r="AG16" s="48">
        <v>0.08</v>
      </c>
      <c r="AH16" s="48">
        <v>0.9</v>
      </c>
      <c r="AI16" s="48">
        <v>0.89</v>
      </c>
      <c r="AJ16" s="10"/>
      <c r="AK16" t="s">
        <v>25</v>
      </c>
      <c r="AL16">
        <v>0.24299999999999999</v>
      </c>
      <c r="AM16" s="48">
        <v>0.5</v>
      </c>
      <c r="AN16" s="48">
        <v>0.55000000000000004</v>
      </c>
      <c r="AO16" s="48">
        <v>0.5</v>
      </c>
      <c r="AP16" s="10"/>
      <c r="AQ16" t="s">
        <v>25</v>
      </c>
      <c r="AR16">
        <v>0.24299999999999999</v>
      </c>
      <c r="AS16" s="48">
        <v>0.64</v>
      </c>
      <c r="AT16" s="48">
        <v>0.42</v>
      </c>
      <c r="AU16" s="49">
        <v>0.37</v>
      </c>
    </row>
    <row r="17" spans="1:47" x14ac:dyDescent="0.25">
      <c r="A17" s="13" t="s">
        <v>26</v>
      </c>
      <c r="B17">
        <v>0.28320000000000001</v>
      </c>
      <c r="C17" s="48">
        <v>0.78</v>
      </c>
      <c r="D17" s="48">
        <v>0.35</v>
      </c>
      <c r="E17" s="48">
        <v>0.24</v>
      </c>
      <c r="F17" s="10"/>
      <c r="G17" t="s">
        <v>26</v>
      </c>
      <c r="H17">
        <v>0.28320000000000001</v>
      </c>
      <c r="I17" s="48">
        <v>0.92</v>
      </c>
      <c r="J17" s="48">
        <v>0.25</v>
      </c>
      <c r="K17" s="48">
        <v>0.11</v>
      </c>
      <c r="L17" s="10"/>
      <c r="M17" t="s">
        <v>26</v>
      </c>
      <c r="N17">
        <v>0.28320000000000001</v>
      </c>
      <c r="O17" s="48">
        <v>0.22</v>
      </c>
      <c r="P17" s="48">
        <v>0.85</v>
      </c>
      <c r="Q17" s="48">
        <v>0.76</v>
      </c>
      <c r="R17" s="10"/>
      <c r="S17" t="s">
        <v>26</v>
      </c>
      <c r="T17">
        <v>0.28320000000000001</v>
      </c>
      <c r="U17" s="48">
        <v>0.5</v>
      </c>
      <c r="V17" s="48">
        <v>0.55000000000000004</v>
      </c>
      <c r="W17" s="48">
        <v>0.5</v>
      </c>
      <c r="X17" s="10"/>
      <c r="Y17" t="s">
        <v>26</v>
      </c>
      <c r="Z17">
        <v>0.28320000000000001</v>
      </c>
      <c r="AA17" s="48">
        <v>0.78</v>
      </c>
      <c r="AB17" s="48">
        <v>0.35</v>
      </c>
      <c r="AC17" s="48">
        <v>0.24</v>
      </c>
      <c r="AE17" t="s">
        <v>26</v>
      </c>
      <c r="AF17">
        <v>0.28320000000000001</v>
      </c>
      <c r="AG17" s="48">
        <v>0.64</v>
      </c>
      <c r="AH17" s="48">
        <v>0.42</v>
      </c>
      <c r="AI17" s="48">
        <v>0.37</v>
      </c>
      <c r="AJ17" s="10"/>
      <c r="AK17" t="s">
        <v>26</v>
      </c>
      <c r="AL17">
        <v>0.28320000000000001</v>
      </c>
      <c r="AM17" s="48">
        <v>0.92</v>
      </c>
      <c r="AN17" s="48">
        <v>0.25</v>
      </c>
      <c r="AO17" s="48">
        <v>0.11</v>
      </c>
      <c r="AP17" s="10"/>
      <c r="AQ17" t="s">
        <v>26</v>
      </c>
      <c r="AR17">
        <v>0.28320000000000001</v>
      </c>
      <c r="AS17" s="48">
        <v>0.22</v>
      </c>
      <c r="AT17" s="48">
        <v>0.85</v>
      </c>
      <c r="AU17" s="49">
        <v>0.76</v>
      </c>
    </row>
    <row r="18" spans="1:47" x14ac:dyDescent="0.25">
      <c r="A18" s="13" t="s">
        <v>27</v>
      </c>
      <c r="B18">
        <v>0.2661</v>
      </c>
      <c r="C18" s="48">
        <v>0.5</v>
      </c>
      <c r="D18" s="48">
        <v>0.55000000000000004</v>
      </c>
      <c r="E18" s="48">
        <v>0.5</v>
      </c>
      <c r="F18" s="10"/>
      <c r="G18" t="s">
        <v>27</v>
      </c>
      <c r="H18">
        <v>0.2661</v>
      </c>
      <c r="I18" s="48">
        <v>0.78</v>
      </c>
      <c r="J18" s="48">
        <v>0.35</v>
      </c>
      <c r="K18" s="48">
        <v>0.24</v>
      </c>
      <c r="L18" s="10"/>
      <c r="M18" t="s">
        <v>27</v>
      </c>
      <c r="N18">
        <v>0.2661</v>
      </c>
      <c r="O18" s="48">
        <v>0.64</v>
      </c>
      <c r="P18" s="48">
        <v>0.42</v>
      </c>
      <c r="Q18" s="48">
        <v>0.37</v>
      </c>
      <c r="R18" s="10"/>
      <c r="S18" t="s">
        <v>27</v>
      </c>
      <c r="T18">
        <v>0.2661</v>
      </c>
      <c r="U18" s="48">
        <v>0.92</v>
      </c>
      <c r="V18" s="48">
        <v>0.25</v>
      </c>
      <c r="W18" s="48">
        <v>0.11</v>
      </c>
      <c r="X18" s="10"/>
      <c r="Y18" t="s">
        <v>27</v>
      </c>
      <c r="Z18">
        <v>0.2661</v>
      </c>
      <c r="AA18" s="48">
        <v>0.78</v>
      </c>
      <c r="AB18" s="48">
        <v>0.35</v>
      </c>
      <c r="AC18" s="48">
        <v>0.24</v>
      </c>
      <c r="AE18" t="s">
        <v>27</v>
      </c>
      <c r="AF18">
        <v>0.2661</v>
      </c>
      <c r="AG18" s="48">
        <v>0.36</v>
      </c>
      <c r="AH18" s="48">
        <v>0.74</v>
      </c>
      <c r="AI18" s="48">
        <v>0.63</v>
      </c>
      <c r="AJ18" s="10"/>
      <c r="AK18" t="s">
        <v>27</v>
      </c>
      <c r="AL18">
        <v>0.2661</v>
      </c>
      <c r="AM18" s="48">
        <v>0.64</v>
      </c>
      <c r="AN18" s="48">
        <v>0.42</v>
      </c>
      <c r="AO18" s="48">
        <v>0.37</v>
      </c>
      <c r="AP18" s="10"/>
      <c r="AQ18" t="s">
        <v>27</v>
      </c>
      <c r="AR18">
        <v>0.2661</v>
      </c>
      <c r="AS18" s="48">
        <v>0.5</v>
      </c>
      <c r="AT18" s="48">
        <v>0.55000000000000004</v>
      </c>
      <c r="AU18" s="49">
        <v>0.5</v>
      </c>
    </row>
    <row r="19" spans="1:47" x14ac:dyDescent="0.25">
      <c r="A19" s="13" t="s">
        <v>28</v>
      </c>
      <c r="B19">
        <v>0.2077</v>
      </c>
      <c r="C19" s="48">
        <v>0.64</v>
      </c>
      <c r="D19" s="48">
        <v>0.42</v>
      </c>
      <c r="E19" s="48">
        <v>0.37</v>
      </c>
      <c r="F19" s="10"/>
      <c r="G19" t="s">
        <v>28</v>
      </c>
      <c r="H19">
        <v>0.2077</v>
      </c>
      <c r="I19" s="48">
        <v>0.92</v>
      </c>
      <c r="J19" s="48">
        <v>0.25</v>
      </c>
      <c r="K19" s="48">
        <v>0.11</v>
      </c>
      <c r="L19" s="10"/>
      <c r="M19" t="s">
        <v>28</v>
      </c>
      <c r="N19">
        <v>0.2077</v>
      </c>
      <c r="O19" s="48">
        <v>0.78</v>
      </c>
      <c r="P19" s="48">
        <v>0.35</v>
      </c>
      <c r="Q19" s="48">
        <v>0.24</v>
      </c>
      <c r="R19" s="10"/>
      <c r="S19" t="s">
        <v>28</v>
      </c>
      <c r="T19">
        <v>0.2077</v>
      </c>
      <c r="U19" s="48">
        <v>0.36</v>
      </c>
      <c r="V19" s="48">
        <v>0.74</v>
      </c>
      <c r="W19" s="48">
        <v>0.63</v>
      </c>
      <c r="X19" s="10"/>
      <c r="Y19" t="s">
        <v>28</v>
      </c>
      <c r="Z19">
        <v>0.2077</v>
      </c>
      <c r="AA19" s="48">
        <v>0.08</v>
      </c>
      <c r="AB19" s="48">
        <v>0.9</v>
      </c>
      <c r="AC19" s="48">
        <v>0.89</v>
      </c>
      <c r="AE19" t="s">
        <v>28</v>
      </c>
      <c r="AF19">
        <v>0.2077</v>
      </c>
      <c r="AG19" s="48">
        <v>0.5</v>
      </c>
      <c r="AH19" s="48">
        <v>0.55000000000000004</v>
      </c>
      <c r="AI19" s="48">
        <v>0.5</v>
      </c>
      <c r="AJ19" s="10"/>
      <c r="AK19" t="s">
        <v>28</v>
      </c>
      <c r="AL19">
        <v>0.2077</v>
      </c>
      <c r="AM19" s="48">
        <v>0.22</v>
      </c>
      <c r="AN19" s="48">
        <v>0.85</v>
      </c>
      <c r="AO19" s="48">
        <v>0.76</v>
      </c>
      <c r="AP19" s="10"/>
      <c r="AQ19" t="s">
        <v>28</v>
      </c>
      <c r="AR19">
        <v>0.2077</v>
      </c>
      <c r="AS19" s="48">
        <v>0.08</v>
      </c>
      <c r="AT19" s="48">
        <v>0.9</v>
      </c>
      <c r="AU19" s="49">
        <v>0.89</v>
      </c>
    </row>
    <row r="20" spans="1:47" ht="15.75" thickBot="1" x14ac:dyDescent="0.3">
      <c r="A20" s="15" t="s">
        <v>44</v>
      </c>
      <c r="B20" s="16"/>
      <c r="C20" s="45">
        <f>SQRT(1-(((1-(C16)^2)^B16)*((1-(C17)^2)^B17)*((1-(C18)^2)^B18)*((1-(C19)^2)^B19)))</f>
        <v>0.77211537890540938</v>
      </c>
      <c r="D20" s="46">
        <f>((D16^B16)*(D17^B17)*(D18^B18)*(D19^B19))</f>
        <v>0.37777992979146835</v>
      </c>
      <c r="E20" s="47">
        <f>((E16^B16)*(E17^B17)*(E18^B18)*(E19^B19))</f>
        <v>0.26408617259732481</v>
      </c>
      <c r="F20" s="24"/>
      <c r="G20" s="16" t="s">
        <v>44</v>
      </c>
      <c r="H20" s="16"/>
      <c r="I20" s="45">
        <f>SQRT(1-(((1-(I16)^2)^H16)*((1-(I17)^2)^H17)*((1-(I18)^2)^H18)*((1-(I19)^2)^H19)))</f>
        <v>0.89608198580616949</v>
      </c>
      <c r="J20" s="46">
        <f>((J16^H16)*(J17^H17)*(J18^H18)*(J19^H19))</f>
        <v>0.27341647441491235</v>
      </c>
      <c r="K20" s="47">
        <f>((K16^H16)*(K17^H17)*(K18^H18)*(K19^H19))</f>
        <v>0.13537931211916651</v>
      </c>
      <c r="L20" s="24"/>
      <c r="M20" s="16" t="s">
        <v>44</v>
      </c>
      <c r="N20" s="16"/>
      <c r="O20" s="45">
        <f>SQRT(1-(((1-(O16)^2)^N16)*((1-(O17)^2)^N17)*((1-(O18)^2)^N18)*((1-(O19)^2)^N19)))</f>
        <v>0.5850048052350485</v>
      </c>
      <c r="P20" s="46">
        <f>((P16^N16)*(P17^N17)*(P18^N18)*(P19^N19))</f>
        <v>0.52719240175937143</v>
      </c>
      <c r="Q20" s="47">
        <f>((Q16^N16)*(Q17^N17)*(Q18^N18)*(Q19^N19))</f>
        <v>0.44613312873465533</v>
      </c>
      <c r="R20" s="24"/>
      <c r="S20" s="16" t="s">
        <v>44</v>
      </c>
      <c r="T20" s="16"/>
      <c r="U20" s="28">
        <f>SQRT(1-(((1-(U16)^2)^T16)*((1-(U17)^2)^T17)*((1-(U18)^2)^T18)*((1-(U19)^2)^T19)))</f>
        <v>0.72207152738823788</v>
      </c>
      <c r="V20" s="28">
        <f>((V16^T16)*(V17^T17)*(V18^T18)*(V19^T19))</f>
        <v>0.44417238658357316</v>
      </c>
      <c r="W20" s="28">
        <f>((W16^T16)*(W17^T17)*(W18^T18)*(W19^T19))</f>
        <v>0.3258809320913158</v>
      </c>
      <c r="X20" s="24"/>
      <c r="Y20" s="16" t="s">
        <v>44</v>
      </c>
      <c r="Z20" s="16"/>
      <c r="AA20" s="28">
        <f>SQRT(1-(((1-(AA16)^2)^Z16)*((1-(AA17)^2)^Z17)*((1-(AA18)^2)^Z18)*((1-(AA19)^2)^Z19)))</f>
        <v>0.66601177854599725</v>
      </c>
      <c r="AB20" s="28">
        <f>((AB16^Z16)*(AB17^Z17)*(AB18^Z18)*(AB19^Z19))</f>
        <v>0.4752924105126401</v>
      </c>
      <c r="AC20" s="28">
        <f>((AC16^Z16)*(AC17^Z17)*(AC18^Z18)*(AC19^Z19))</f>
        <v>0.37660670734095048</v>
      </c>
      <c r="AD20" s="16"/>
      <c r="AE20" s="16" t="s">
        <v>44</v>
      </c>
      <c r="AF20" s="16"/>
      <c r="AG20" s="28">
        <f>SQRT(1-(((1-(AG16)^2)^AF16)*((1-(AG17)^2)^AF17)*((1-(AG18)^2)^AF18)*((1-(AG19)^2)^AF19)))</f>
        <v>0.46822509856089967</v>
      </c>
      <c r="AH20" s="28">
        <f>((AH16^AF16)*(AH17^AF17)*(AH18^AF18)*(AH19^AF19))</f>
        <v>0.62152846019676877</v>
      </c>
      <c r="AI20" s="28">
        <f>((AI16^AF16)*(AI17^AF17)*(AI18^AF18)*(AI19^AF19))</f>
        <v>0.5616905146980381</v>
      </c>
      <c r="AJ20" s="24"/>
      <c r="AK20" s="16" t="s">
        <v>44</v>
      </c>
      <c r="AL20" s="16"/>
      <c r="AM20" s="28">
        <f>SQRT(1-(((1-(AM16)^2)^AL16)*((1-(AM17)^2)^AL17)*((1-(AM18)^2)^AL18)*((1-(AM19)^2)^AL19)))</f>
        <v>0.72670270056137232</v>
      </c>
      <c r="AN20" s="28">
        <f>((AN16^AL16)*(AN17^AL17)*(AN18^AL18)*(AN19^AL19))</f>
        <v>0.44822047453032204</v>
      </c>
      <c r="AO20" s="28">
        <f>((AO16^AL16)*(AO17^AL17)*(AO18^AL18)*(AO19^AL19))</f>
        <v>0.32788049448172657</v>
      </c>
      <c r="AP20" s="24"/>
      <c r="AQ20" s="16" t="s">
        <v>44</v>
      </c>
      <c r="AR20" s="16"/>
      <c r="AS20" s="28">
        <f>SQRT(1-(((1-(AS16)^2)^AR16)*((1-(AS17)^2)^AR17)*((1-(AS18)^2)^AR18)*((1-(AS19)^2)^AR19)))</f>
        <v>0.44437548841281738</v>
      </c>
      <c r="AT20" s="28">
        <f>((AT16^AR16)*(AT17^AR17)*(AT18^AR18)*(AT19^AR19))</f>
        <v>0.64545756939157095</v>
      </c>
      <c r="AU20" s="30">
        <f>((AU16^AR16)*(AU17^AR17)*(AU18^AR18)*(AU19^AR19))</f>
        <v>0.58979848250099098</v>
      </c>
    </row>
    <row r="23" spans="1:47" ht="15.75" thickBot="1" x14ac:dyDescent="0.3"/>
    <row r="24" spans="1:47" x14ac:dyDescent="0.25">
      <c r="C24" s="94" t="s">
        <v>126</v>
      </c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3"/>
    </row>
    <row r="25" spans="1:47" x14ac:dyDescent="0.25">
      <c r="C25" s="13"/>
      <c r="AU25" s="14"/>
    </row>
    <row r="26" spans="1:47" ht="15.75" thickBot="1" x14ac:dyDescent="0.3">
      <c r="C26" s="15">
        <v>0.77211537890540938</v>
      </c>
      <c r="D26" s="16">
        <v>0.37777992979146835</v>
      </c>
      <c r="E26" s="16">
        <v>0.26408617259732481</v>
      </c>
      <c r="F26" s="16"/>
      <c r="G26" s="16" t="s">
        <v>44</v>
      </c>
      <c r="H26" s="16"/>
      <c r="I26" s="16">
        <v>0.89608198580616949</v>
      </c>
      <c r="J26" s="16">
        <v>0.27341647441491235</v>
      </c>
      <c r="K26" s="16">
        <v>0.13537931211916651</v>
      </c>
      <c r="L26" s="16"/>
      <c r="M26" s="16" t="s">
        <v>44</v>
      </c>
      <c r="N26" s="16"/>
      <c r="O26" s="16">
        <v>0.5850048052350485</v>
      </c>
      <c r="P26" s="16">
        <v>0.52719240175937143</v>
      </c>
      <c r="Q26" s="16">
        <v>0.44613312873465533</v>
      </c>
      <c r="R26" s="16"/>
      <c r="S26" s="16" t="s">
        <v>44</v>
      </c>
      <c r="T26" s="16"/>
      <c r="U26" s="16">
        <v>0.72207152738823788</v>
      </c>
      <c r="V26" s="16">
        <v>0.44417238658357316</v>
      </c>
      <c r="W26" s="16">
        <v>0.3258809320913158</v>
      </c>
      <c r="X26" s="16"/>
      <c r="Y26" s="16" t="s">
        <v>44</v>
      </c>
      <c r="Z26" s="16"/>
      <c r="AA26" s="16">
        <v>0.66601177854599725</v>
      </c>
      <c r="AB26" s="16">
        <v>0.4752924105126401</v>
      </c>
      <c r="AC26" s="16">
        <v>0.37660670734095048</v>
      </c>
      <c r="AD26" s="16"/>
      <c r="AE26" s="16" t="s">
        <v>44</v>
      </c>
      <c r="AF26" s="16"/>
      <c r="AG26" s="16">
        <v>0.46822509856089967</v>
      </c>
      <c r="AH26" s="16">
        <v>0.62152846019676877</v>
      </c>
      <c r="AI26" s="16">
        <v>0.5616905146980381</v>
      </c>
      <c r="AJ26" s="16"/>
      <c r="AK26" s="16" t="s">
        <v>44</v>
      </c>
      <c r="AL26" s="16"/>
      <c r="AM26" s="16">
        <v>0.72670270056137232</v>
      </c>
      <c r="AN26" s="16">
        <v>0.44822047453032204</v>
      </c>
      <c r="AO26" s="16">
        <v>0.32788049448172657</v>
      </c>
      <c r="AP26" s="16"/>
      <c r="AQ26" s="16" t="s">
        <v>44</v>
      </c>
      <c r="AR26" s="16"/>
      <c r="AS26" s="16">
        <v>0.44437548841281738</v>
      </c>
      <c r="AT26" s="16">
        <v>0.64545756939157095</v>
      </c>
      <c r="AU26" s="17">
        <v>0.58979848250099098</v>
      </c>
    </row>
    <row r="29" spans="1:47" ht="15.75" thickBot="1" x14ac:dyDescent="0.3"/>
    <row r="30" spans="1:47" x14ac:dyDescent="0.25">
      <c r="C30" s="94" t="s">
        <v>124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3"/>
    </row>
    <row r="31" spans="1:47" x14ac:dyDescent="0.25">
      <c r="C31" s="13"/>
      <c r="AU31" s="14"/>
    </row>
    <row r="32" spans="1:47" ht="15.75" thickBot="1" x14ac:dyDescent="0.3">
      <c r="C32" s="15">
        <f>ROUND(C26,4)</f>
        <v>0.77210000000000001</v>
      </c>
      <c r="D32" s="16">
        <f t="shared" ref="D32:AU32" si="0">ROUND(D26,4)</f>
        <v>0.37780000000000002</v>
      </c>
      <c r="E32" s="16">
        <f t="shared" si="0"/>
        <v>0.2641</v>
      </c>
      <c r="F32" s="16">
        <f t="shared" si="0"/>
        <v>0</v>
      </c>
      <c r="G32" s="16" t="e">
        <f t="shared" si="0"/>
        <v>#VALUE!</v>
      </c>
      <c r="H32" s="16">
        <f t="shared" si="0"/>
        <v>0</v>
      </c>
      <c r="I32" s="16">
        <f t="shared" si="0"/>
        <v>0.89610000000000001</v>
      </c>
      <c r="J32" s="16">
        <f t="shared" si="0"/>
        <v>0.27339999999999998</v>
      </c>
      <c r="K32" s="16">
        <f t="shared" si="0"/>
        <v>0.13539999999999999</v>
      </c>
      <c r="L32" s="16">
        <f t="shared" si="0"/>
        <v>0</v>
      </c>
      <c r="M32" s="16" t="e">
        <f t="shared" si="0"/>
        <v>#VALUE!</v>
      </c>
      <c r="N32" s="16">
        <f t="shared" si="0"/>
        <v>0</v>
      </c>
      <c r="O32" s="16">
        <f t="shared" si="0"/>
        <v>0.58499999999999996</v>
      </c>
      <c r="P32" s="16">
        <f t="shared" si="0"/>
        <v>0.5272</v>
      </c>
      <c r="Q32" s="16">
        <f t="shared" si="0"/>
        <v>0.4461</v>
      </c>
      <c r="R32" s="16">
        <f t="shared" si="0"/>
        <v>0</v>
      </c>
      <c r="S32" s="16" t="e">
        <f t="shared" si="0"/>
        <v>#VALUE!</v>
      </c>
      <c r="T32" s="16">
        <f t="shared" si="0"/>
        <v>0</v>
      </c>
      <c r="U32" s="16">
        <f t="shared" si="0"/>
        <v>0.72209999999999996</v>
      </c>
      <c r="V32" s="16">
        <f t="shared" si="0"/>
        <v>0.44419999999999998</v>
      </c>
      <c r="W32" s="16">
        <f t="shared" si="0"/>
        <v>0.32590000000000002</v>
      </c>
      <c r="X32" s="16">
        <f t="shared" si="0"/>
        <v>0</v>
      </c>
      <c r="Y32" s="16" t="e">
        <f t="shared" si="0"/>
        <v>#VALUE!</v>
      </c>
      <c r="Z32" s="16">
        <f t="shared" si="0"/>
        <v>0</v>
      </c>
      <c r="AA32" s="16">
        <f t="shared" si="0"/>
        <v>0.66600000000000004</v>
      </c>
      <c r="AB32" s="16">
        <f t="shared" si="0"/>
        <v>0.4753</v>
      </c>
      <c r="AC32" s="16">
        <f t="shared" si="0"/>
        <v>0.37659999999999999</v>
      </c>
      <c r="AD32" s="16">
        <f t="shared" si="0"/>
        <v>0</v>
      </c>
      <c r="AE32" s="16" t="e">
        <f t="shared" si="0"/>
        <v>#VALUE!</v>
      </c>
      <c r="AF32" s="16">
        <f t="shared" si="0"/>
        <v>0</v>
      </c>
      <c r="AG32" s="16">
        <f t="shared" si="0"/>
        <v>0.46820000000000001</v>
      </c>
      <c r="AH32" s="16">
        <f t="shared" si="0"/>
        <v>0.62150000000000005</v>
      </c>
      <c r="AI32" s="16">
        <f t="shared" si="0"/>
        <v>0.56169999999999998</v>
      </c>
      <c r="AJ32" s="16">
        <f t="shared" si="0"/>
        <v>0</v>
      </c>
      <c r="AK32" s="16" t="e">
        <f t="shared" si="0"/>
        <v>#VALUE!</v>
      </c>
      <c r="AL32" s="16">
        <f t="shared" si="0"/>
        <v>0</v>
      </c>
      <c r="AM32" s="16">
        <f t="shared" si="0"/>
        <v>0.72670000000000001</v>
      </c>
      <c r="AN32" s="16">
        <f t="shared" si="0"/>
        <v>0.44819999999999999</v>
      </c>
      <c r="AO32" s="16">
        <f t="shared" si="0"/>
        <v>0.32790000000000002</v>
      </c>
      <c r="AP32" s="16">
        <f t="shared" si="0"/>
        <v>0</v>
      </c>
      <c r="AQ32" s="16" t="e">
        <f t="shared" si="0"/>
        <v>#VALUE!</v>
      </c>
      <c r="AR32" s="16">
        <f t="shared" si="0"/>
        <v>0</v>
      </c>
      <c r="AS32" s="16">
        <f t="shared" si="0"/>
        <v>0.44440000000000002</v>
      </c>
      <c r="AT32" s="16">
        <f t="shared" si="0"/>
        <v>0.64549999999999996</v>
      </c>
      <c r="AU32" s="17">
        <f t="shared" si="0"/>
        <v>0.58979999999999999</v>
      </c>
    </row>
    <row r="34" spans="3:47" ht="15.75" thickBot="1" x14ac:dyDescent="0.3"/>
    <row r="35" spans="3:47" x14ac:dyDescent="0.25">
      <c r="C35" s="94" t="s">
        <v>125</v>
      </c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3"/>
    </row>
    <row r="36" spans="3:47" ht="15.75" thickBot="1" x14ac:dyDescent="0.3">
      <c r="C36" s="15">
        <v>0.77210000000000001</v>
      </c>
      <c r="D36" s="16">
        <v>0.37780000000000002</v>
      </c>
      <c r="E36" s="16">
        <v>0.2641</v>
      </c>
      <c r="F36" s="16">
        <v>0</v>
      </c>
      <c r="G36" s="16" t="e">
        <v>#VALUE!</v>
      </c>
      <c r="H36" s="16">
        <v>0</v>
      </c>
      <c r="I36" s="16">
        <v>0.89610000000000001</v>
      </c>
      <c r="J36" s="16">
        <v>0.27339999999999998</v>
      </c>
      <c r="K36" s="16">
        <v>0.13539999999999999</v>
      </c>
      <c r="L36" s="16">
        <v>0</v>
      </c>
      <c r="M36" s="16" t="e">
        <v>#VALUE!</v>
      </c>
      <c r="N36" s="16">
        <v>0</v>
      </c>
      <c r="O36" s="16">
        <v>0.58499999999999996</v>
      </c>
      <c r="P36" s="16">
        <v>0.5272</v>
      </c>
      <c r="Q36" s="16">
        <v>0.4461</v>
      </c>
      <c r="R36" s="16">
        <v>0</v>
      </c>
      <c r="S36" s="16" t="e">
        <v>#VALUE!</v>
      </c>
      <c r="T36" s="16">
        <v>0</v>
      </c>
      <c r="U36" s="16">
        <v>0.72209999999999996</v>
      </c>
      <c r="V36" s="16">
        <v>0.44419999999999998</v>
      </c>
      <c r="W36" s="16">
        <v>0.32590000000000002</v>
      </c>
      <c r="X36" s="16">
        <v>0</v>
      </c>
      <c r="Y36" s="16" t="e">
        <v>#VALUE!</v>
      </c>
      <c r="Z36" s="16">
        <v>0</v>
      </c>
      <c r="AA36" s="16">
        <v>0.66600000000000004</v>
      </c>
      <c r="AB36" s="16">
        <v>0.4753</v>
      </c>
      <c r="AC36" s="16">
        <v>0.37659999999999999</v>
      </c>
      <c r="AD36" s="16">
        <v>0</v>
      </c>
      <c r="AE36" s="16" t="e">
        <v>#VALUE!</v>
      </c>
      <c r="AF36" s="16">
        <v>0</v>
      </c>
      <c r="AG36" s="16">
        <v>0.46820000000000001</v>
      </c>
      <c r="AH36" s="16">
        <v>0.62150000000000005</v>
      </c>
      <c r="AI36" s="16">
        <v>0.56169999999999998</v>
      </c>
      <c r="AJ36" s="16">
        <v>0</v>
      </c>
      <c r="AK36" s="16" t="e">
        <v>#VALUE!</v>
      </c>
      <c r="AL36" s="16">
        <v>0</v>
      </c>
      <c r="AM36" s="16">
        <v>0.72670000000000001</v>
      </c>
      <c r="AN36" s="16">
        <v>0.44819999999999999</v>
      </c>
      <c r="AO36" s="16">
        <v>0.32790000000000002</v>
      </c>
      <c r="AP36" s="16">
        <v>0</v>
      </c>
      <c r="AQ36" s="16" t="e">
        <v>#VALUE!</v>
      </c>
      <c r="AR36" s="16">
        <v>0</v>
      </c>
      <c r="AS36" s="16">
        <v>0.44440000000000002</v>
      </c>
      <c r="AT36" s="16">
        <v>0.64549999999999996</v>
      </c>
      <c r="AU36" s="17">
        <v>0.58979999999999999</v>
      </c>
    </row>
    <row r="39" spans="3:47" x14ac:dyDescent="0.25">
      <c r="C39">
        <v>0.77210000000000001</v>
      </c>
      <c r="D39">
        <v>0.37780000000000002</v>
      </c>
      <c r="E39">
        <v>0.2641</v>
      </c>
    </row>
    <row r="40" spans="3:47" x14ac:dyDescent="0.25">
      <c r="C40">
        <v>0.89610000000000001</v>
      </c>
      <c r="D40">
        <v>0.27339999999999998</v>
      </c>
      <c r="E40">
        <v>0.13539999999999999</v>
      </c>
    </row>
    <row r="41" spans="3:47" x14ac:dyDescent="0.25">
      <c r="C41">
        <v>0.58499999999999996</v>
      </c>
      <c r="D41">
        <v>0.5272</v>
      </c>
      <c r="E41">
        <v>0.4461</v>
      </c>
    </row>
    <row r="42" spans="3:47" x14ac:dyDescent="0.25">
      <c r="C42">
        <v>0.72209999999999996</v>
      </c>
      <c r="D42">
        <v>0.44419999999999998</v>
      </c>
      <c r="E42">
        <v>0.32590000000000002</v>
      </c>
    </row>
    <row r="43" spans="3:47" x14ac:dyDescent="0.25">
      <c r="C43">
        <v>0.66600000000000004</v>
      </c>
      <c r="D43">
        <v>0.4753</v>
      </c>
      <c r="E43">
        <v>0.37659999999999999</v>
      </c>
    </row>
    <row r="44" spans="3:47" x14ac:dyDescent="0.25">
      <c r="C44">
        <v>0.46820000000000001</v>
      </c>
      <c r="D44">
        <v>0.62150000000000005</v>
      </c>
      <c r="E44">
        <v>0.56169999999999998</v>
      </c>
    </row>
    <row r="45" spans="3:47" x14ac:dyDescent="0.25">
      <c r="C45">
        <v>0.72670000000000001</v>
      </c>
      <c r="D45">
        <v>0.44819999999999999</v>
      </c>
      <c r="E45">
        <v>0.32790000000000002</v>
      </c>
    </row>
    <row r="46" spans="3:47" x14ac:dyDescent="0.25">
      <c r="C46">
        <v>0.44440000000000002</v>
      </c>
      <c r="D46">
        <v>0.64549999999999996</v>
      </c>
      <c r="E46">
        <v>0.58979999999999999</v>
      </c>
    </row>
  </sheetData>
  <mergeCells count="19">
    <mergeCell ref="A15:B15"/>
    <mergeCell ref="C15:E15"/>
    <mergeCell ref="G15:H15"/>
    <mergeCell ref="I15:K15"/>
    <mergeCell ref="M15:N15"/>
    <mergeCell ref="AM15:AO15"/>
    <mergeCell ref="AQ15:AR15"/>
    <mergeCell ref="AS15:AU15"/>
    <mergeCell ref="C24:AU24"/>
    <mergeCell ref="C35:AU35"/>
    <mergeCell ref="C30:AU30"/>
    <mergeCell ref="S15:T15"/>
    <mergeCell ref="U15:W15"/>
    <mergeCell ref="Y15:Z15"/>
    <mergeCell ref="AA15:AC15"/>
    <mergeCell ref="AE15:AF15"/>
    <mergeCell ref="AG15:AI15"/>
    <mergeCell ref="O15:Q15"/>
    <mergeCell ref="AK15:AL1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6222-2D59-4CAD-9B12-5EC83DA5C2C5}">
  <dimension ref="A2:J22"/>
  <sheetViews>
    <sheetView workbookViewId="0">
      <selection activeCell="J14" sqref="J14:J21"/>
    </sheetView>
  </sheetViews>
  <sheetFormatPr defaultRowHeight="15" x14ac:dyDescent="0.25"/>
  <sheetData>
    <row r="2" spans="1:10" x14ac:dyDescent="0.25">
      <c r="I2" t="s">
        <v>127</v>
      </c>
    </row>
    <row r="4" spans="1:10" x14ac:dyDescent="0.25">
      <c r="A4">
        <v>0.77210000000000001</v>
      </c>
      <c r="B4">
        <v>0.37780000000000002</v>
      </c>
      <c r="C4">
        <v>0.2641</v>
      </c>
    </row>
    <row r="5" spans="1:10" x14ac:dyDescent="0.25">
      <c r="A5">
        <v>0.89610000000000001</v>
      </c>
      <c r="B5">
        <v>0.27339999999999998</v>
      </c>
      <c r="C5">
        <v>0.13539999999999999</v>
      </c>
    </row>
    <row r="6" spans="1:10" x14ac:dyDescent="0.25">
      <c r="A6">
        <v>0.58499999999999996</v>
      </c>
      <c r="B6">
        <v>0.5272</v>
      </c>
      <c r="C6">
        <v>0.4461</v>
      </c>
    </row>
    <row r="7" spans="1:10" x14ac:dyDescent="0.25">
      <c r="A7">
        <v>0.72209999999999996</v>
      </c>
      <c r="B7">
        <v>0.44419999999999998</v>
      </c>
      <c r="C7">
        <v>0.32590000000000002</v>
      </c>
    </row>
    <row r="8" spans="1:10" x14ac:dyDescent="0.25">
      <c r="A8">
        <v>0.66600000000000004</v>
      </c>
      <c r="B8">
        <v>0.4753</v>
      </c>
      <c r="C8">
        <v>0.37659999999999999</v>
      </c>
    </row>
    <row r="9" spans="1:10" x14ac:dyDescent="0.25">
      <c r="A9">
        <v>0.46820000000000001</v>
      </c>
      <c r="B9">
        <v>0.62150000000000005</v>
      </c>
      <c r="C9">
        <v>0.56169999999999998</v>
      </c>
    </row>
    <row r="10" spans="1:10" x14ac:dyDescent="0.25">
      <c r="A10">
        <v>0.72670000000000001</v>
      </c>
      <c r="B10">
        <v>0.44819999999999999</v>
      </c>
      <c r="C10">
        <v>0.32790000000000002</v>
      </c>
    </row>
    <row r="11" spans="1:10" x14ac:dyDescent="0.25">
      <c r="A11">
        <v>0.44440000000000002</v>
      </c>
      <c r="B11">
        <v>0.64549999999999996</v>
      </c>
      <c r="C11">
        <v>0.58979999999999999</v>
      </c>
    </row>
    <row r="13" spans="1:10" x14ac:dyDescent="0.25">
      <c r="F13" t="s">
        <v>174</v>
      </c>
      <c r="H13" t="s">
        <v>175</v>
      </c>
      <c r="J13" t="s">
        <v>176</v>
      </c>
    </row>
    <row r="14" spans="1:10" x14ac:dyDescent="0.25">
      <c r="A14" s="87" t="s">
        <v>41</v>
      </c>
      <c r="B14">
        <v>0.77210000000000001</v>
      </c>
      <c r="C14">
        <v>0.37780000000000002</v>
      </c>
      <c r="D14">
        <v>0.2641</v>
      </c>
      <c r="E14" s="10"/>
      <c r="F14" s="10">
        <f>(B14+D14*(B14/(B14+C14)))/((B14+D14*(B14/(B14+C14)))+(B15+D15*(B15/(B15+C15)))+(B16+D16*(B16/(B16+C16)))+(B17+D17*(B17/(B17+C17)))+(B18+D18*(B18/(B18+C18)))+(B19+D19*(B19/(B19+C19)))+(B20+D20*(B20/(B20+C20)))+(B21+D21*(B21/(B21+C21))))</f>
        <v>0.1375487262698484</v>
      </c>
      <c r="G14" s="10"/>
      <c r="H14" s="10">
        <f>ROUND(F14,4)</f>
        <v>0.13750000000000001</v>
      </c>
      <c r="J14">
        <v>0.13750000000000001</v>
      </c>
    </row>
    <row r="15" spans="1:10" x14ac:dyDescent="0.25">
      <c r="A15" s="87"/>
      <c r="B15">
        <v>0.89610000000000001</v>
      </c>
      <c r="C15">
        <v>0.27339999999999998</v>
      </c>
      <c r="D15">
        <v>0.13539999999999999</v>
      </c>
      <c r="E15" s="10"/>
      <c r="F15" s="10">
        <f>(B15+D15*(B15/(B15+C15)))/((B14+D14*(B14/(B14+C14)))+(B15+D15*(B15/(B15+C15)))+(B16+D16*(B16/(B16+C16)))+(B17+D17*(B17/(B17+C17)))+(B18+D18*(B18/(B18+C18)))+(B19+D19*(B19/(B19+C19)))+(B20+D20*(B20/(B20+C20)))+(B21+D21*(B21/(B21+C21))))</f>
        <v>0.14485289103280313</v>
      </c>
      <c r="G15" s="10"/>
      <c r="H15" s="10">
        <f t="shared" ref="H15:H21" si="0">ROUND(F15,4)</f>
        <v>0.1449</v>
      </c>
      <c r="J15">
        <v>0.1449</v>
      </c>
    </row>
    <row r="16" spans="1:10" x14ac:dyDescent="0.25">
      <c r="A16" s="87"/>
      <c r="B16">
        <v>0.58499999999999996</v>
      </c>
      <c r="C16">
        <v>0.5272</v>
      </c>
      <c r="D16">
        <v>0.4461</v>
      </c>
      <c r="E16" s="10"/>
      <c r="F16" s="10">
        <f>(B16+D16*(B16/(B16+C16)))/((B14+D14*(B14/(B14+C14)))+(B15+D15*(B15/(B15+C15)))+(B16+D16*(B16/(B16+C16)))+(B17+D17*(B17/(B17+C17)))+(B18+D18*(B18/(B18+C18)))+(B19+D19*(B19/(B19+C19)))+(B20+D20*(B20/(B20+C20)))+(B21+D21*(B21/(B21+C21))))</f>
        <v>0.11874565602651488</v>
      </c>
      <c r="G16" s="10"/>
      <c r="H16" s="10">
        <f t="shared" si="0"/>
        <v>0.1187</v>
      </c>
      <c r="J16">
        <v>0.1187</v>
      </c>
    </row>
    <row r="17" spans="1:10" x14ac:dyDescent="0.25">
      <c r="A17" s="87"/>
      <c r="B17">
        <v>0.72209999999999996</v>
      </c>
      <c r="C17">
        <v>0.44419999999999998</v>
      </c>
      <c r="D17">
        <v>0.32590000000000002</v>
      </c>
      <c r="E17" s="10"/>
      <c r="F17" s="10">
        <f>(B17+D17*(B17/(B17+C17)))/((B14+D14*(B14/(B14+C14)))+(B15+D15*(B15/(B15+C15)))+(B16+D16*(B16/(B16+C16)))+(B17+D17*(B17/(B17+C17)))+(B18+D18*(B18/(B18+C18)))+(B19+D19*(B19/(B19+C19)))+(B20+D20*(B20/(B20+C20)))+(B21+D21*(B21/(B21+C21))))</f>
        <v>0.13384673762235963</v>
      </c>
      <c r="G17" s="10"/>
      <c r="H17" s="10">
        <f t="shared" si="0"/>
        <v>0.1338</v>
      </c>
      <c r="J17">
        <v>0.1338</v>
      </c>
    </row>
    <row r="18" spans="1:10" x14ac:dyDescent="0.25">
      <c r="A18" s="87"/>
      <c r="B18">
        <v>0.66600000000000004</v>
      </c>
      <c r="C18">
        <v>0.4753</v>
      </c>
      <c r="D18">
        <v>0.37659999999999999</v>
      </c>
      <c r="E18" s="10"/>
      <c r="F18" s="10">
        <f>(B18+D18*(B18/(B18+C18)))/((B14+D14*(B14/(B14+C14)))+(B15+D15*(B15/(B15+C15)))+(B16+D16*(B16/(B16+C16)))+(B17+D17*(B17/(B17+C17)))+(B18+D18*(B18/(B18+C18)))+(B19+D19*(B19/(B19+C19)))+(B20+D20*(B20/(B20+C20)))+(B21+D21*(B21/(B21+C21))))</f>
        <v>0.12832499559250177</v>
      </c>
      <c r="G18" s="10"/>
      <c r="H18" s="10">
        <f t="shared" si="0"/>
        <v>0.1283</v>
      </c>
      <c r="J18">
        <v>0.1283</v>
      </c>
    </row>
    <row r="19" spans="1:10" x14ac:dyDescent="0.25">
      <c r="A19" s="87"/>
      <c r="B19">
        <v>0.46820000000000001</v>
      </c>
      <c r="C19">
        <v>0.62150000000000005</v>
      </c>
      <c r="D19">
        <v>0.56169999999999998</v>
      </c>
      <c r="E19" s="10"/>
      <c r="F19" s="10">
        <f>(B19+D19*(B19/(B19+C19)))/((B14+D14*(B14/(B14+C14)))+(B15+D15*(B15/(B15+C15)))+(B16+D16*(B16/(B16+C16)))+(B17+D17*(B17/(B17+C17)))+(B18+D18*(B18/(B18+C18)))+(B19+D19*(B19/(B19+C19)))+(B20+D20*(B20/(B20+C20)))+(B21+D21*(B21/(B21+C21))))</f>
        <v>0.10279462909963034</v>
      </c>
      <c r="G19" s="10"/>
      <c r="H19" s="10">
        <f t="shared" si="0"/>
        <v>0.1028</v>
      </c>
      <c r="J19">
        <v>0.1028</v>
      </c>
    </row>
    <row r="20" spans="1:10" x14ac:dyDescent="0.25">
      <c r="A20" s="87"/>
      <c r="B20">
        <v>0.72670000000000001</v>
      </c>
      <c r="C20">
        <v>0.44819999999999999</v>
      </c>
      <c r="D20">
        <v>0.32790000000000002</v>
      </c>
      <c r="E20" s="10"/>
      <c r="F20" s="10">
        <f>(B20+D20*(B20/(B20+C20)))/((B14+D14*(B14/(B14+C14)))+(B15+D15*(B15/(B15+C15)))+(B16+D16*(B16/(B16+C16)))+(B17+D17*(B17/(B17+C17)))+(B18+D18*(B18/(B18+C18)))+(B19+D19*(B19/(B19+C19)))+(B20+D20*(B20/(B20+C20)))+(B21+D21*(B21/(B21+C21))))</f>
        <v>0.13466326125127226</v>
      </c>
      <c r="G20" s="10"/>
      <c r="H20" s="10">
        <f t="shared" si="0"/>
        <v>0.13469999999999999</v>
      </c>
      <c r="J20">
        <v>0.13469999999999999</v>
      </c>
    </row>
    <row r="21" spans="1:10" x14ac:dyDescent="0.25">
      <c r="A21" s="87"/>
      <c r="B21">
        <v>0.44440000000000002</v>
      </c>
      <c r="C21">
        <v>0.64549999999999996</v>
      </c>
      <c r="D21">
        <v>0.58979999999999999</v>
      </c>
      <c r="E21" s="10"/>
      <c r="F21" s="10">
        <f>(B21+D21*(B21/(B21+C21)))/((B14+D14*(B14/(B14+C14)))+(B15+D15*(B15/(B15+C15)))+(B16+D16*(B16/(B16+C16)))+(B17+D17*(B17/(B17+C17)))+(B18+D18*(B18/(B18+C18)))+(B19+D19*(B19/(B19+C19)))+(B20+D20*(B20/(B20+C20)))+(B21+D21*(B21/(B21+C21))))</f>
        <v>9.9223103105069557E-2</v>
      </c>
      <c r="G21" s="10"/>
      <c r="H21" s="10">
        <f t="shared" si="0"/>
        <v>9.9199999999999997E-2</v>
      </c>
      <c r="J21">
        <v>9.9199999999999997E-2</v>
      </c>
    </row>
    <row r="22" spans="1:10" x14ac:dyDescent="0.25">
      <c r="A22" s="50"/>
      <c r="B22" s="10"/>
      <c r="C22" s="10"/>
      <c r="D22" s="10"/>
      <c r="E22" s="10"/>
      <c r="F22" s="10">
        <f>SUM(F14:F21)</f>
        <v>1</v>
      </c>
      <c r="G22" s="10"/>
      <c r="H22" s="10">
        <f t="shared" ref="H22" si="1">ROUND(F22,4)</f>
        <v>1</v>
      </c>
      <c r="J22">
        <v>1</v>
      </c>
    </row>
  </sheetData>
  <mergeCells count="1">
    <mergeCell ref="A14:A2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03D2-DCD3-45F7-8400-D624267532D4}">
  <dimension ref="B3:Z115"/>
  <sheetViews>
    <sheetView topLeftCell="A97" workbookViewId="0">
      <selection activeCell="B107" sqref="B107:Z115"/>
    </sheetView>
  </sheetViews>
  <sheetFormatPr defaultRowHeight="15" x14ac:dyDescent="0.25"/>
  <cols>
    <col min="2" max="2" width="15.42578125" bestFit="1" customWidth="1"/>
    <col min="3" max="26" width="7" bestFit="1" customWidth="1"/>
  </cols>
  <sheetData>
    <row r="3" spans="2:26" x14ac:dyDescent="0.25">
      <c r="C3" s="91" t="s">
        <v>107</v>
      </c>
      <c r="D3" s="89"/>
      <c r="E3" s="89"/>
      <c r="F3" s="91" t="s">
        <v>108</v>
      </c>
      <c r="G3" s="89"/>
      <c r="H3" s="89"/>
      <c r="I3" s="91" t="s">
        <v>109</v>
      </c>
      <c r="J3" s="89"/>
      <c r="K3" s="89"/>
      <c r="L3" s="91" t="s">
        <v>110</v>
      </c>
      <c r="M3" s="89"/>
      <c r="N3" s="89"/>
      <c r="O3" s="91" t="s">
        <v>111</v>
      </c>
      <c r="P3" s="89"/>
      <c r="Q3" s="89"/>
      <c r="R3" s="91" t="s">
        <v>112</v>
      </c>
      <c r="S3" s="89"/>
      <c r="T3" s="89"/>
      <c r="U3" s="91" t="s">
        <v>113</v>
      </c>
      <c r="V3" s="89"/>
      <c r="W3" s="89"/>
      <c r="X3" s="91" t="s">
        <v>114</v>
      </c>
      <c r="Y3" s="89"/>
      <c r="Z3" s="89"/>
    </row>
    <row r="4" spans="2:26" x14ac:dyDescent="0.25">
      <c r="B4" t="s">
        <v>128</v>
      </c>
      <c r="C4" s="13">
        <v>0.71819999999999995</v>
      </c>
      <c r="D4">
        <v>0.69640000000000002</v>
      </c>
      <c r="E4">
        <v>0.4118</v>
      </c>
      <c r="F4">
        <v>0.73</v>
      </c>
      <c r="G4">
        <v>0.61750000000000005</v>
      </c>
      <c r="H4">
        <v>0.40400000000000003</v>
      </c>
      <c r="I4">
        <v>0.61660000000000004</v>
      </c>
      <c r="J4">
        <v>0.7127</v>
      </c>
      <c r="K4">
        <v>0.4274</v>
      </c>
      <c r="L4">
        <v>0.63439999999999996</v>
      </c>
      <c r="M4">
        <v>0.5575</v>
      </c>
      <c r="N4">
        <v>0.58069999999999999</v>
      </c>
      <c r="O4">
        <v>0.79359999999999997</v>
      </c>
      <c r="P4">
        <v>0.57820000000000005</v>
      </c>
      <c r="Q4">
        <v>0.34610000000000002</v>
      </c>
      <c r="R4">
        <v>0.57099999999999995</v>
      </c>
      <c r="S4">
        <v>0.61060000000000003</v>
      </c>
      <c r="T4">
        <v>0.57369999999999999</v>
      </c>
      <c r="U4">
        <v>0.45660000000000001</v>
      </c>
      <c r="V4">
        <v>0.56889999999999996</v>
      </c>
      <c r="W4">
        <v>0.70760000000000001</v>
      </c>
      <c r="X4">
        <v>0.48370000000000002</v>
      </c>
      <c r="Y4">
        <v>0.69910000000000005</v>
      </c>
      <c r="Z4" s="14">
        <v>0.63329999999999997</v>
      </c>
    </row>
    <row r="5" spans="2:26" x14ac:dyDescent="0.25">
      <c r="B5" t="s">
        <v>129</v>
      </c>
      <c r="C5" s="13">
        <v>0.59670000000000001</v>
      </c>
      <c r="D5">
        <v>0.65369999999999995</v>
      </c>
      <c r="E5">
        <v>0.5232</v>
      </c>
      <c r="F5">
        <v>0.71350000000000002</v>
      </c>
      <c r="G5">
        <v>0.54520000000000002</v>
      </c>
      <c r="H5">
        <v>0.44579999999999997</v>
      </c>
      <c r="I5">
        <v>0.38069999999999998</v>
      </c>
      <c r="J5">
        <v>0.68879999999999997</v>
      </c>
      <c r="K5">
        <v>0.74850000000000005</v>
      </c>
      <c r="L5">
        <v>0.67179999999999995</v>
      </c>
      <c r="M5">
        <v>0.50219999999999998</v>
      </c>
      <c r="N5">
        <v>0.50949999999999995</v>
      </c>
      <c r="O5">
        <v>0.68100000000000005</v>
      </c>
      <c r="P5">
        <v>0.48370000000000002</v>
      </c>
      <c r="Q5">
        <v>0.5363</v>
      </c>
      <c r="R5">
        <v>0.72589999999999999</v>
      </c>
      <c r="S5">
        <v>0.60850000000000004</v>
      </c>
      <c r="T5">
        <v>0.41389999999999999</v>
      </c>
      <c r="U5">
        <v>0.71989999999999998</v>
      </c>
      <c r="V5">
        <v>0.62429999999999997</v>
      </c>
      <c r="W5">
        <v>0.42809999999999998</v>
      </c>
      <c r="X5">
        <v>0.41880000000000001</v>
      </c>
      <c r="Y5">
        <v>0.59519999999999995</v>
      </c>
      <c r="Z5" s="14">
        <v>0.72740000000000005</v>
      </c>
    </row>
    <row r="6" spans="2:26" x14ac:dyDescent="0.25">
      <c r="B6" t="s">
        <v>130</v>
      </c>
      <c r="C6" s="13">
        <v>0.64839999999999998</v>
      </c>
      <c r="D6">
        <v>0.68910000000000005</v>
      </c>
      <c r="E6">
        <v>0.47239999999999999</v>
      </c>
      <c r="F6">
        <v>0.62649999999999995</v>
      </c>
      <c r="G6">
        <v>0.76939999999999997</v>
      </c>
      <c r="H6">
        <v>0.44550000000000001</v>
      </c>
      <c r="I6">
        <v>0.41720000000000002</v>
      </c>
      <c r="J6">
        <v>0.70989999999999998</v>
      </c>
      <c r="K6">
        <v>0.70730000000000004</v>
      </c>
      <c r="L6">
        <v>0.53420000000000001</v>
      </c>
      <c r="M6">
        <v>0.68720000000000003</v>
      </c>
      <c r="N6">
        <v>0.5585</v>
      </c>
      <c r="O6">
        <v>0.59930000000000005</v>
      </c>
      <c r="P6">
        <v>0.64349999999999996</v>
      </c>
      <c r="Q6">
        <v>0.50690000000000002</v>
      </c>
      <c r="R6">
        <v>0.69479999999999997</v>
      </c>
      <c r="S6">
        <v>0.58150000000000002</v>
      </c>
      <c r="T6">
        <v>0.46479999999999999</v>
      </c>
      <c r="U6">
        <v>0.48420000000000002</v>
      </c>
      <c r="V6">
        <v>0.56040000000000001</v>
      </c>
      <c r="W6">
        <v>0.66669999999999996</v>
      </c>
      <c r="X6">
        <v>0.47360000000000002</v>
      </c>
      <c r="Y6">
        <v>0.53390000000000004</v>
      </c>
      <c r="Z6" s="14">
        <v>0.74809999999999999</v>
      </c>
    </row>
    <row r="7" spans="2:26" x14ac:dyDescent="0.25">
      <c r="B7" t="s">
        <v>131</v>
      </c>
      <c r="C7" s="13">
        <v>0.92830000000000001</v>
      </c>
      <c r="D7">
        <v>0.2843</v>
      </c>
      <c r="E7">
        <v>0.1177</v>
      </c>
      <c r="F7">
        <v>0.91479999999999995</v>
      </c>
      <c r="G7">
        <v>0.32040000000000002</v>
      </c>
      <c r="H7">
        <v>0.14779999999999999</v>
      </c>
      <c r="I7">
        <v>0.2049</v>
      </c>
      <c r="J7">
        <v>0.40570000000000001</v>
      </c>
      <c r="K7">
        <v>0.91990000000000005</v>
      </c>
      <c r="L7">
        <v>0.93899999999999995</v>
      </c>
      <c r="M7">
        <v>0.27650000000000002</v>
      </c>
      <c r="N7">
        <v>0.11210000000000001</v>
      </c>
      <c r="O7">
        <v>0.10780000000000001</v>
      </c>
      <c r="P7">
        <v>0.27039999999999997</v>
      </c>
      <c r="Q7">
        <v>0.9345</v>
      </c>
      <c r="R7">
        <v>0.93420000000000003</v>
      </c>
      <c r="S7">
        <v>0.1903</v>
      </c>
      <c r="T7">
        <v>7.7299999999999994E-2</v>
      </c>
      <c r="U7">
        <v>0.72989999999999999</v>
      </c>
      <c r="V7">
        <v>0.68589999999999995</v>
      </c>
      <c r="W7">
        <v>0.39040000000000002</v>
      </c>
      <c r="X7">
        <v>0.41310000000000002</v>
      </c>
      <c r="Y7">
        <v>0.74299999999999999</v>
      </c>
      <c r="Z7" s="14">
        <v>0.66590000000000005</v>
      </c>
    </row>
    <row r="8" spans="2:26" x14ac:dyDescent="0.25">
      <c r="B8" t="s">
        <v>132</v>
      </c>
      <c r="C8" s="13">
        <v>0.52649999999999997</v>
      </c>
      <c r="D8">
        <v>0.86299999999999999</v>
      </c>
      <c r="E8">
        <v>0.47470000000000001</v>
      </c>
      <c r="F8">
        <v>0.70520000000000005</v>
      </c>
      <c r="G8">
        <v>0.62060000000000004</v>
      </c>
      <c r="H8">
        <v>0.44240000000000002</v>
      </c>
      <c r="I8">
        <v>0.36849999999999999</v>
      </c>
      <c r="J8">
        <v>0.67910000000000004</v>
      </c>
      <c r="K8">
        <v>0.75839999999999996</v>
      </c>
      <c r="L8">
        <v>0.4521</v>
      </c>
      <c r="M8">
        <v>0.81559999999999999</v>
      </c>
      <c r="N8">
        <v>0.58289999999999997</v>
      </c>
      <c r="O8">
        <v>0.70140000000000002</v>
      </c>
      <c r="P8">
        <v>0.63590000000000002</v>
      </c>
      <c r="Q8">
        <v>0.40389999999999998</v>
      </c>
      <c r="R8">
        <v>0.36230000000000001</v>
      </c>
      <c r="S8">
        <v>0.51170000000000004</v>
      </c>
      <c r="T8">
        <v>0.7419</v>
      </c>
      <c r="U8">
        <v>0.58679999999999999</v>
      </c>
      <c r="V8">
        <v>0.58640000000000003</v>
      </c>
      <c r="W8">
        <v>0.55089999999999995</v>
      </c>
      <c r="X8">
        <v>0.54630000000000001</v>
      </c>
      <c r="Y8">
        <v>0.64880000000000004</v>
      </c>
      <c r="Z8" s="14">
        <v>0.5716</v>
      </c>
    </row>
    <row r="9" spans="2:26" x14ac:dyDescent="0.25">
      <c r="B9" t="s">
        <v>133</v>
      </c>
      <c r="C9" s="13">
        <v>0.86980000000000002</v>
      </c>
      <c r="D9">
        <v>0.49459999999999998</v>
      </c>
      <c r="E9">
        <v>0.2676</v>
      </c>
      <c r="F9">
        <v>0.80530000000000002</v>
      </c>
      <c r="G9">
        <v>0.58250000000000002</v>
      </c>
      <c r="H9">
        <v>0.33789999999999998</v>
      </c>
      <c r="I9">
        <v>0.39629999999999999</v>
      </c>
      <c r="J9">
        <v>0.70369999999999999</v>
      </c>
      <c r="K9">
        <v>0.70809999999999995</v>
      </c>
      <c r="L9">
        <v>0.58960000000000001</v>
      </c>
      <c r="M9">
        <v>0.80020000000000002</v>
      </c>
      <c r="N9">
        <v>0.47470000000000001</v>
      </c>
      <c r="O9">
        <v>0.3906</v>
      </c>
      <c r="P9">
        <v>0.6643</v>
      </c>
      <c r="Q9">
        <v>0.73529999999999995</v>
      </c>
      <c r="R9">
        <v>0.8165</v>
      </c>
      <c r="S9">
        <v>0.35310000000000002</v>
      </c>
      <c r="T9">
        <v>0.2329</v>
      </c>
      <c r="U9">
        <v>0.51390000000000002</v>
      </c>
      <c r="V9">
        <v>0.61929999999999996</v>
      </c>
      <c r="W9">
        <v>0.61419999999999997</v>
      </c>
      <c r="X9">
        <v>0.79120000000000001</v>
      </c>
      <c r="Y9">
        <v>0.57599999999999996</v>
      </c>
      <c r="Z9" s="14">
        <v>0.3473</v>
      </c>
    </row>
    <row r="10" spans="2:26" ht="15.75" thickBot="1" x14ac:dyDescent="0.3">
      <c r="B10" t="s">
        <v>134</v>
      </c>
      <c r="C10" s="15">
        <v>0.32719999999999999</v>
      </c>
      <c r="D10" s="16">
        <v>0.52529999999999999</v>
      </c>
      <c r="E10" s="16">
        <v>0.81230000000000002</v>
      </c>
      <c r="F10" s="16">
        <v>0.51459999999999995</v>
      </c>
      <c r="G10" s="16">
        <v>0.7298</v>
      </c>
      <c r="H10" s="16">
        <v>0.60019999999999996</v>
      </c>
      <c r="I10" s="16">
        <v>0.58250000000000002</v>
      </c>
      <c r="J10" s="16">
        <v>0.70130000000000003</v>
      </c>
      <c r="K10" s="16">
        <v>0.46160000000000001</v>
      </c>
      <c r="L10" s="16">
        <v>0.54649999999999999</v>
      </c>
      <c r="M10" s="16">
        <v>0.85109999999999997</v>
      </c>
      <c r="N10" s="16">
        <v>0.48799999999999999</v>
      </c>
      <c r="O10" s="16">
        <v>0.38469999999999999</v>
      </c>
      <c r="P10" s="16">
        <v>0.70699999999999996</v>
      </c>
      <c r="Q10" s="16">
        <v>0.73109999999999997</v>
      </c>
      <c r="R10" s="16">
        <v>0.68520000000000003</v>
      </c>
      <c r="S10" s="16">
        <v>0.627</v>
      </c>
      <c r="T10" s="16">
        <v>0.45590000000000003</v>
      </c>
      <c r="U10" s="16">
        <v>0.7177</v>
      </c>
      <c r="V10" s="16">
        <v>0.58499999999999996</v>
      </c>
      <c r="W10" s="16">
        <v>0.43269999999999997</v>
      </c>
      <c r="X10" s="16">
        <v>0.39250000000000002</v>
      </c>
      <c r="Y10" s="16">
        <v>0.52</v>
      </c>
      <c r="Z10" s="17">
        <v>0.77780000000000005</v>
      </c>
    </row>
    <row r="12" spans="2:26" ht="15.75" thickBot="1" x14ac:dyDescent="0.3">
      <c r="B12" t="s">
        <v>135</v>
      </c>
      <c r="C12" s="15">
        <v>0.77210000000000001</v>
      </c>
      <c r="D12" s="16">
        <v>0.37780000000000002</v>
      </c>
      <c r="E12" s="16">
        <v>0.2641</v>
      </c>
      <c r="F12" s="16">
        <v>0.89610000000000001</v>
      </c>
      <c r="G12" s="16">
        <v>0.27339999999999998</v>
      </c>
      <c r="H12" s="16">
        <v>0.13539999999999999</v>
      </c>
      <c r="I12" s="16">
        <v>0.58499999999999996</v>
      </c>
      <c r="J12" s="16">
        <v>0.5272</v>
      </c>
      <c r="K12" s="16">
        <v>0.4461</v>
      </c>
      <c r="L12" s="16">
        <v>0.72209999999999996</v>
      </c>
      <c r="M12" s="16">
        <v>0.44419999999999998</v>
      </c>
      <c r="N12" s="16">
        <v>0.32590000000000002</v>
      </c>
      <c r="O12" s="16">
        <v>0.66600000000000004</v>
      </c>
      <c r="P12" s="16">
        <v>0.4753</v>
      </c>
      <c r="Q12" s="16">
        <v>0.37659999999999999</v>
      </c>
      <c r="R12" s="16">
        <v>0.46820000000000001</v>
      </c>
      <c r="S12" s="16">
        <v>0.62150000000000005</v>
      </c>
      <c r="T12" s="16">
        <v>0.56169999999999998</v>
      </c>
      <c r="U12" s="16">
        <v>0.72670000000000001</v>
      </c>
      <c r="V12" s="16">
        <v>0.44819999999999999</v>
      </c>
      <c r="W12" s="16">
        <v>0.32790000000000002</v>
      </c>
      <c r="X12" s="16">
        <v>0.44440000000000002</v>
      </c>
      <c r="Y12" s="16">
        <v>0.64549999999999996</v>
      </c>
      <c r="Z12" s="17">
        <v>0.58979999999999999</v>
      </c>
    </row>
    <row r="14" spans="2:26" x14ac:dyDescent="0.25">
      <c r="B14" s="89" t="s">
        <v>136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6" spans="2:26" x14ac:dyDescent="0.25">
      <c r="C16" s="91" t="s">
        <v>107</v>
      </c>
      <c r="D16" s="89"/>
      <c r="E16" s="90"/>
      <c r="F16" s="91" t="s">
        <v>108</v>
      </c>
      <c r="G16" s="89"/>
      <c r="H16" s="90"/>
      <c r="I16" s="91" t="s">
        <v>109</v>
      </c>
      <c r="J16" s="89"/>
      <c r="K16" s="90"/>
      <c r="L16" s="91" t="s">
        <v>110</v>
      </c>
      <c r="M16" s="89"/>
      <c r="N16" s="90"/>
      <c r="O16" s="91" t="s">
        <v>111</v>
      </c>
      <c r="P16" s="89"/>
      <c r="Q16" s="90"/>
      <c r="R16" s="91" t="s">
        <v>112</v>
      </c>
      <c r="S16" s="89"/>
      <c r="T16" s="90"/>
      <c r="U16" s="91" t="s">
        <v>113</v>
      </c>
      <c r="V16" s="89"/>
      <c r="W16" s="90"/>
      <c r="X16" s="91" t="s">
        <v>114</v>
      </c>
      <c r="Y16" s="89"/>
      <c r="Z16" s="89"/>
    </row>
    <row r="17" spans="2:26" x14ac:dyDescent="0.25">
      <c r="B17" t="s">
        <v>128</v>
      </c>
      <c r="C17">
        <f>C4*$C$12</f>
        <v>0.55452221999999995</v>
      </c>
      <c r="D17">
        <f>SQRT(D4^2+$D$12^2-D4^2*$D$12^2)</f>
        <v>0.74731802607457121</v>
      </c>
      <c r="E17">
        <f>SQRT(E4^2+$E$12^2-E4^2*$E$12^2)</f>
        <v>0.47696970533703248</v>
      </c>
      <c r="F17">
        <f>F4*$F$12</f>
        <v>0.65415299999999998</v>
      </c>
      <c r="G17">
        <f>SQRT(G4^2+$G$12^2-G4^2*$G$12^2)</f>
        <v>0.65387468080646005</v>
      </c>
      <c r="H17">
        <f>SQRT(H4^2+$H$12^2-H4^2*$H$12^2)</f>
        <v>0.42255993061036917</v>
      </c>
      <c r="I17">
        <f t="shared" ref="I17:I23" si="0">I4*$I$12</f>
        <v>0.360711</v>
      </c>
      <c r="J17">
        <f t="shared" ref="J17:J23" si="1">SQRT(J4^2+$J$12^2-J4^2*$J$12^2)</f>
        <v>0.8029346231966874</v>
      </c>
      <c r="K17">
        <f>SQRT(K4^2+$K$12^2-K4^2*$K$12^2)</f>
        <v>0.5876423547067896</v>
      </c>
      <c r="L17">
        <f>L4*$L$12</f>
        <v>0.45810023999999994</v>
      </c>
      <c r="M17">
        <f t="shared" ref="M17:M23" si="2">SQRT(M4^2+$M$12^2-M4^2*$M$12^2)</f>
        <v>0.6684261944880302</v>
      </c>
      <c r="N17">
        <f>SQRT(N4^2+$N$12^2-N4^2*$N$12^2)</f>
        <v>0.63844160915073744</v>
      </c>
      <c r="O17">
        <f>O4*$O$12</f>
        <v>0.52853760000000005</v>
      </c>
      <c r="P17">
        <f>SQRT(P4^2+$P$12^2-P4^2*$P$12^2)</f>
        <v>0.6962040965429811</v>
      </c>
      <c r="Q17">
        <f>SQRT(Q4^2+$Q$12^2-Q4^2*$Q$12^2)</f>
        <v>0.49459470876831302</v>
      </c>
      <c r="R17">
        <f>R4*$R$12</f>
        <v>0.26734219999999997</v>
      </c>
      <c r="S17">
        <f>SQRT(S4^2+$S$12^2-S4^2*$S$12^2)</f>
        <v>0.7842726208108951</v>
      </c>
      <c r="T17">
        <f t="shared" ref="T17:T23" si="3">SQRT(T4^2+$T$12^2-T4^2*$T$12^2)</f>
        <v>0.73538783243106209</v>
      </c>
      <c r="U17">
        <f>U4*$U$12</f>
        <v>0.33181122000000002</v>
      </c>
      <c r="V17">
        <f>SQRT(V4^2+$V$12^2-V4^2*$V$12^2)</f>
        <v>0.67787546779496277</v>
      </c>
      <c r="W17">
        <f>SQRT(W4^2+$W$12^2-W4^2*$W$12^2)</f>
        <v>0.74456829300893446</v>
      </c>
      <c r="X17">
        <f>X4*$X$12</f>
        <v>0.21495628000000003</v>
      </c>
      <c r="Y17">
        <f>SQRT(Y4^2+$Y$12^2-Y4^2*$Y$12^2)</f>
        <v>0.83771552720007381</v>
      </c>
      <c r="Z17">
        <f>SQRT(Z4^2+$Z$12^2-Z4^2*$Z$12^2)</f>
        <v>0.78065068091066458</v>
      </c>
    </row>
    <row r="18" spans="2:26" x14ac:dyDescent="0.25">
      <c r="B18" t="s">
        <v>129</v>
      </c>
      <c r="C18">
        <f t="shared" ref="C18:C23" si="4">C5*$C$12</f>
        <v>0.46071207000000003</v>
      </c>
      <c r="D18">
        <f t="shared" ref="D18:D23" si="5">SQRT(D5^2+$D$12^2-D5^2*$D$12^2)</f>
        <v>0.71348679464095222</v>
      </c>
      <c r="E18">
        <f t="shared" ref="E18:E23" si="6">SQRT(E5^2+$E$12^2-E5^2*$E$12^2)</f>
        <v>0.56955608460318075</v>
      </c>
      <c r="F18">
        <f t="shared" ref="F18:F23" si="7">F5*$F$12</f>
        <v>0.63936735</v>
      </c>
      <c r="G18">
        <f t="shared" ref="G18:G23" si="8">SQRT(G5^2+$G$12^2-G5^2*$G$12^2)</f>
        <v>0.59141559671099109</v>
      </c>
      <c r="H18">
        <f t="shared" ref="H18:H23" si="9">SQRT(H5^2+$H$12^2-H5^2*$H$12^2)</f>
        <v>0.46198193801041354</v>
      </c>
      <c r="I18">
        <f t="shared" si="0"/>
        <v>0.22270949999999998</v>
      </c>
      <c r="J18">
        <f t="shared" si="1"/>
        <v>0.78772964290908232</v>
      </c>
      <c r="K18">
        <f t="shared" ref="K18:K23" si="10">SQRT(K5^2+$K$12^2-K5^2*$K$12^2)</f>
        <v>0.80483808516730715</v>
      </c>
      <c r="L18">
        <f t="shared" ref="L18:L23" si="11">L5*$L$12</f>
        <v>0.48510677999999996</v>
      </c>
      <c r="M18">
        <f t="shared" si="2"/>
        <v>0.63226183262473024</v>
      </c>
      <c r="N18">
        <f t="shared" ref="N18:N23" si="12">SQRT(N5^2+$N$12^2-N5^2*$N$12^2)</f>
        <v>0.58157524816604556</v>
      </c>
      <c r="O18">
        <f t="shared" ref="O18:O23" si="13">O5*$O$12</f>
        <v>0.45354600000000006</v>
      </c>
      <c r="P18">
        <f t="shared" ref="P18:P23" si="14">SQRT(P5^2+$P$12^2-P5^2*$P$12^2)</f>
        <v>0.63798163760032156</v>
      </c>
      <c r="Q18">
        <f t="shared" ref="Q18:Q23" si="15">SQRT(Q5^2+$Q$12^2-Q5^2*$Q$12^2)</f>
        <v>0.62342051202576232</v>
      </c>
      <c r="R18">
        <f t="shared" ref="R18:R23" si="16">R5*$R$12</f>
        <v>0.33986638000000002</v>
      </c>
      <c r="S18">
        <f t="shared" ref="S18:S23" si="17">SQRT(S5^2+$S$12^2-S5^2*$S$12^2)</f>
        <v>0.78327026472504213</v>
      </c>
      <c r="T18">
        <f t="shared" si="3"/>
        <v>0.65785226449179535</v>
      </c>
      <c r="U18">
        <f t="shared" ref="U18:U23" si="18">U5*$U$12</f>
        <v>0.52315133000000003</v>
      </c>
      <c r="V18">
        <f t="shared" ref="V18:V23" si="19">SQRT(V5^2+$V$12^2-V5^2*$V$12^2)</f>
        <v>0.71577886862997875</v>
      </c>
      <c r="W18">
        <f t="shared" ref="W18:W23" si="20">SQRT(W5^2+$W$12^2-W5^2*$W$12^2)</f>
        <v>0.52065647305251073</v>
      </c>
      <c r="X18">
        <f t="shared" ref="X18:X23" si="21">X5*$X$12</f>
        <v>0.18611472000000001</v>
      </c>
      <c r="Y18">
        <f t="shared" ref="Y18:Y23" si="22">SQRT(Y5^2+$Y$12^2-Y5^2*$Y$12^2)</f>
        <v>0.7895077077251621</v>
      </c>
      <c r="Z18">
        <f t="shared" ref="Z18:Z23" si="23">SQRT(Z5^2+$Z$12^2-Z5^2*$Z$12^2)</f>
        <v>0.83241587768310232</v>
      </c>
    </row>
    <row r="19" spans="2:26" x14ac:dyDescent="0.25">
      <c r="B19" t="s">
        <v>130</v>
      </c>
      <c r="C19">
        <f t="shared" si="4"/>
        <v>0.50062963999999999</v>
      </c>
      <c r="D19">
        <f t="shared" si="5"/>
        <v>0.74149423696322792</v>
      </c>
      <c r="E19">
        <f t="shared" si="6"/>
        <v>0.52663583509147416</v>
      </c>
      <c r="F19">
        <f t="shared" si="7"/>
        <v>0.56140665000000001</v>
      </c>
      <c r="G19">
        <f t="shared" si="8"/>
        <v>0.78897093198185597</v>
      </c>
      <c r="H19">
        <f t="shared" si="9"/>
        <v>0.46169776169211607</v>
      </c>
      <c r="I19">
        <f t="shared" si="0"/>
        <v>0.244062</v>
      </c>
      <c r="J19">
        <f t="shared" si="1"/>
        <v>0.80114158632159493</v>
      </c>
      <c r="K19">
        <f t="shared" si="10"/>
        <v>0.77441688312314017</v>
      </c>
      <c r="L19">
        <f t="shared" si="11"/>
        <v>0.38574581999999996</v>
      </c>
      <c r="M19">
        <f t="shared" si="2"/>
        <v>0.75919518502294414</v>
      </c>
      <c r="N19">
        <f t="shared" si="12"/>
        <v>0.62048653907274853</v>
      </c>
      <c r="O19">
        <f t="shared" si="13"/>
        <v>0.39913380000000004</v>
      </c>
      <c r="P19">
        <f t="shared" si="14"/>
        <v>0.73922575884109809</v>
      </c>
      <c r="Q19">
        <f t="shared" si="15"/>
        <v>0.60194095842189399</v>
      </c>
      <c r="R19">
        <f t="shared" si="16"/>
        <v>0.32530535999999999</v>
      </c>
      <c r="S19">
        <f t="shared" si="17"/>
        <v>0.77057959595030645</v>
      </c>
      <c r="T19">
        <f t="shared" si="3"/>
        <v>0.68072323625025044</v>
      </c>
      <c r="U19">
        <f t="shared" si="18"/>
        <v>0.35186814</v>
      </c>
      <c r="V19">
        <f t="shared" si="19"/>
        <v>0.67219371322793675</v>
      </c>
      <c r="W19">
        <f t="shared" si="20"/>
        <v>0.71008208066711209</v>
      </c>
      <c r="X19">
        <f t="shared" si="21"/>
        <v>0.21046784000000002</v>
      </c>
      <c r="Y19">
        <f t="shared" si="22"/>
        <v>0.76351027131728721</v>
      </c>
      <c r="Z19">
        <f t="shared" si="23"/>
        <v>0.84429514047210741</v>
      </c>
    </row>
    <row r="20" spans="2:26" x14ac:dyDescent="0.25">
      <c r="B20" t="s">
        <v>131</v>
      </c>
      <c r="C20">
        <f t="shared" si="4"/>
        <v>0.71674042999999998</v>
      </c>
      <c r="D20">
        <f t="shared" si="5"/>
        <v>0.46045926588034736</v>
      </c>
      <c r="E20">
        <f t="shared" si="6"/>
        <v>0.28746451869389916</v>
      </c>
      <c r="F20">
        <f t="shared" si="7"/>
        <v>0.81975228</v>
      </c>
      <c r="G20">
        <f t="shared" si="8"/>
        <v>0.41198352214746453</v>
      </c>
      <c r="H20">
        <f t="shared" si="9"/>
        <v>0.1994430120438056</v>
      </c>
      <c r="I20">
        <f t="shared" si="0"/>
        <v>0.11986649999999999</v>
      </c>
      <c r="J20">
        <f t="shared" si="1"/>
        <v>0.62990913603804677</v>
      </c>
      <c r="K20">
        <f t="shared" si="10"/>
        <v>0.93638657894300681</v>
      </c>
      <c r="L20">
        <f t="shared" si="11"/>
        <v>0.67805189999999993</v>
      </c>
      <c r="M20">
        <f t="shared" si="2"/>
        <v>0.50860674225408176</v>
      </c>
      <c r="N20">
        <f t="shared" si="12"/>
        <v>0.34269889322130576</v>
      </c>
      <c r="O20">
        <f t="shared" si="13"/>
        <v>7.1794800000000006E-2</v>
      </c>
      <c r="P20">
        <f t="shared" si="14"/>
        <v>0.5315153541657528</v>
      </c>
      <c r="Q20">
        <f t="shared" si="15"/>
        <v>0.9440663031115506</v>
      </c>
      <c r="R20">
        <f t="shared" si="16"/>
        <v>0.43739243999999999</v>
      </c>
      <c r="S20">
        <f t="shared" si="17"/>
        <v>0.63913081924978199</v>
      </c>
      <c r="T20">
        <f t="shared" si="3"/>
        <v>0.56532905005425993</v>
      </c>
      <c r="U20">
        <f t="shared" si="18"/>
        <v>0.53041833000000005</v>
      </c>
      <c r="V20">
        <f t="shared" si="19"/>
        <v>0.7594963857456174</v>
      </c>
      <c r="W20">
        <f t="shared" si="20"/>
        <v>0.49350122278686848</v>
      </c>
      <c r="X20">
        <f t="shared" si="21"/>
        <v>0.18358164000000002</v>
      </c>
      <c r="Y20">
        <f t="shared" si="22"/>
        <v>0.85947475539293761</v>
      </c>
      <c r="Z20">
        <f t="shared" si="23"/>
        <v>0.79814535009937115</v>
      </c>
    </row>
    <row r="21" spans="2:26" x14ac:dyDescent="0.25">
      <c r="B21" t="s">
        <v>132</v>
      </c>
      <c r="C21">
        <f t="shared" si="4"/>
        <v>0.40651064999999997</v>
      </c>
      <c r="D21">
        <f t="shared" si="5"/>
        <v>0.88385453864651287</v>
      </c>
      <c r="E21">
        <f t="shared" si="6"/>
        <v>0.5285562381404717</v>
      </c>
      <c r="F21">
        <f t="shared" si="7"/>
        <v>0.63192972000000003</v>
      </c>
      <c r="G21">
        <f t="shared" si="8"/>
        <v>0.65658458620518834</v>
      </c>
      <c r="H21">
        <f t="shared" si="9"/>
        <v>0.45876224233373697</v>
      </c>
      <c r="I21">
        <f t="shared" si="0"/>
        <v>0.21557249999999997</v>
      </c>
      <c r="J21">
        <f t="shared" si="1"/>
        <v>0.78162474450140695</v>
      </c>
      <c r="K21">
        <f t="shared" si="10"/>
        <v>0.81222769709077425</v>
      </c>
      <c r="L21">
        <f t="shared" si="11"/>
        <v>0.32646141000000001</v>
      </c>
      <c r="M21">
        <f t="shared" si="2"/>
        <v>0.85513934753241805</v>
      </c>
      <c r="N21">
        <f t="shared" si="12"/>
        <v>0.64023098731492833</v>
      </c>
      <c r="O21">
        <f t="shared" si="13"/>
        <v>0.46713240000000006</v>
      </c>
      <c r="P21">
        <f t="shared" si="14"/>
        <v>0.73411709266281699</v>
      </c>
      <c r="Q21">
        <f t="shared" si="15"/>
        <v>0.53087258472783494</v>
      </c>
      <c r="R21">
        <f t="shared" si="16"/>
        <v>0.16962886000000002</v>
      </c>
      <c r="S21">
        <f t="shared" si="17"/>
        <v>0.73956841045003918</v>
      </c>
      <c r="T21">
        <f t="shared" si="3"/>
        <v>0.83202318638451844</v>
      </c>
      <c r="U21">
        <f t="shared" si="18"/>
        <v>0.42642755999999998</v>
      </c>
      <c r="V21">
        <f t="shared" si="19"/>
        <v>0.68968941757339564</v>
      </c>
      <c r="W21">
        <f t="shared" si="20"/>
        <v>0.61512467895475287</v>
      </c>
      <c r="X21">
        <f t="shared" si="21"/>
        <v>0.24277572</v>
      </c>
      <c r="Y21">
        <f t="shared" si="22"/>
        <v>0.81376772789281826</v>
      </c>
      <c r="Z21">
        <f t="shared" si="23"/>
        <v>0.74895539177116377</v>
      </c>
    </row>
    <row r="22" spans="2:26" x14ac:dyDescent="0.25">
      <c r="B22" t="s">
        <v>133</v>
      </c>
      <c r="C22">
        <f t="shared" si="4"/>
        <v>0.67157257999999997</v>
      </c>
      <c r="D22">
        <f t="shared" si="5"/>
        <v>0.5936711086505605</v>
      </c>
      <c r="E22">
        <f t="shared" si="6"/>
        <v>0.36927479531591972</v>
      </c>
      <c r="F22">
        <f t="shared" si="7"/>
        <v>0.72162933000000007</v>
      </c>
      <c r="G22">
        <f t="shared" si="8"/>
        <v>0.62345127774329734</v>
      </c>
      <c r="H22">
        <f t="shared" si="9"/>
        <v>0.36113204732790527</v>
      </c>
      <c r="I22">
        <f t="shared" si="0"/>
        <v>0.23183549999999997</v>
      </c>
      <c r="J22">
        <f t="shared" si="1"/>
        <v>0.79718220943043527</v>
      </c>
      <c r="K22">
        <f t="shared" si="10"/>
        <v>0.77500225243980536</v>
      </c>
      <c r="L22">
        <f t="shared" si="11"/>
        <v>0.42575015999999999</v>
      </c>
      <c r="M22">
        <f t="shared" si="2"/>
        <v>0.84337998680467541</v>
      </c>
      <c r="N22">
        <f t="shared" si="12"/>
        <v>0.5546326230178199</v>
      </c>
      <c r="O22">
        <f t="shared" si="13"/>
        <v>0.26013960000000003</v>
      </c>
      <c r="P22">
        <f t="shared" si="14"/>
        <v>0.75333372554771227</v>
      </c>
      <c r="Q22">
        <f t="shared" si="15"/>
        <v>0.77833944887854645</v>
      </c>
      <c r="R22">
        <f t="shared" si="16"/>
        <v>0.38228529999999999</v>
      </c>
      <c r="S22">
        <f t="shared" si="17"/>
        <v>0.68028143684233922</v>
      </c>
      <c r="T22">
        <f t="shared" si="3"/>
        <v>0.59383115943405596</v>
      </c>
      <c r="U22">
        <f t="shared" si="18"/>
        <v>0.37345113000000002</v>
      </c>
      <c r="V22">
        <f t="shared" si="19"/>
        <v>0.71229943195508183</v>
      </c>
      <c r="W22">
        <f t="shared" si="20"/>
        <v>0.66648302955244676</v>
      </c>
      <c r="X22">
        <f t="shared" si="21"/>
        <v>0.35160928000000002</v>
      </c>
      <c r="Y22">
        <f t="shared" si="22"/>
        <v>0.7811562335000598</v>
      </c>
      <c r="Z22">
        <f t="shared" si="23"/>
        <v>0.6530872163859498</v>
      </c>
    </row>
    <row r="23" spans="2:26" x14ac:dyDescent="0.25">
      <c r="B23" t="s">
        <v>134</v>
      </c>
      <c r="C23">
        <f t="shared" si="4"/>
        <v>0.25263111999999999</v>
      </c>
      <c r="D23">
        <f t="shared" si="5"/>
        <v>0.61586298580483334</v>
      </c>
      <c r="E23">
        <f t="shared" si="6"/>
        <v>0.82677545483748804</v>
      </c>
      <c r="F23">
        <f t="shared" si="7"/>
        <v>0.46113305999999998</v>
      </c>
      <c r="G23">
        <f t="shared" si="8"/>
        <v>0.75335545964280215</v>
      </c>
      <c r="H23">
        <f t="shared" si="9"/>
        <v>0.60989250012463136</v>
      </c>
      <c r="I23">
        <f t="shared" si="0"/>
        <v>0.34076249999999997</v>
      </c>
      <c r="J23">
        <f t="shared" si="1"/>
        <v>0.79565362323869948</v>
      </c>
      <c r="K23">
        <f t="shared" si="10"/>
        <v>0.60801054467956583</v>
      </c>
      <c r="L23">
        <f t="shared" si="11"/>
        <v>0.39462765</v>
      </c>
      <c r="M23">
        <f t="shared" si="2"/>
        <v>0.88247182949015179</v>
      </c>
      <c r="N23">
        <f t="shared" si="12"/>
        <v>0.56485515210836135</v>
      </c>
      <c r="O23">
        <f t="shared" si="13"/>
        <v>0.2562102</v>
      </c>
      <c r="P23">
        <f t="shared" si="14"/>
        <v>0.78283980316766588</v>
      </c>
      <c r="Q23">
        <f t="shared" si="15"/>
        <v>0.77493671780558471</v>
      </c>
      <c r="R23">
        <f t="shared" si="16"/>
        <v>0.32081064000000004</v>
      </c>
      <c r="S23">
        <f t="shared" si="17"/>
        <v>0.79217444917123525</v>
      </c>
      <c r="T23">
        <f t="shared" si="3"/>
        <v>0.67659088849485627</v>
      </c>
      <c r="U23">
        <f t="shared" si="18"/>
        <v>0.52155258999999998</v>
      </c>
      <c r="V23">
        <f t="shared" si="19"/>
        <v>0.6887386828042984</v>
      </c>
      <c r="W23">
        <f t="shared" si="20"/>
        <v>0.52403922032016947</v>
      </c>
      <c r="X23">
        <f t="shared" si="21"/>
        <v>0.17442700000000003</v>
      </c>
      <c r="Y23">
        <f t="shared" si="22"/>
        <v>0.75789353764232614</v>
      </c>
      <c r="Z23">
        <f t="shared" si="23"/>
        <v>0.86161974431144883</v>
      </c>
    </row>
    <row r="26" spans="2:26" x14ac:dyDescent="0.25">
      <c r="B26" s="89" t="s">
        <v>137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2:26" x14ac:dyDescent="0.25">
      <c r="C27" s="91" t="s">
        <v>107</v>
      </c>
      <c r="D27" s="89"/>
      <c r="E27" s="90"/>
      <c r="F27" s="91" t="s">
        <v>108</v>
      </c>
      <c r="G27" s="89"/>
      <c r="H27" s="90"/>
      <c r="I27" s="91" t="s">
        <v>109</v>
      </c>
      <c r="J27" s="89"/>
      <c r="K27" s="90"/>
      <c r="L27" s="91" t="s">
        <v>110</v>
      </c>
      <c r="M27" s="89"/>
      <c r="N27" s="90"/>
      <c r="O27" s="91" t="s">
        <v>111</v>
      </c>
      <c r="P27" s="89"/>
      <c r="Q27" s="90"/>
      <c r="R27" s="91" t="s">
        <v>112</v>
      </c>
      <c r="S27" s="89"/>
      <c r="T27" s="90"/>
      <c r="U27" s="91" t="s">
        <v>113</v>
      </c>
      <c r="V27" s="89"/>
      <c r="W27" s="90"/>
      <c r="X27" s="91" t="s">
        <v>114</v>
      </c>
      <c r="Y27" s="89"/>
      <c r="Z27" s="89"/>
    </row>
    <row r="28" spans="2:26" x14ac:dyDescent="0.25">
      <c r="B28" t="s">
        <v>128</v>
      </c>
      <c r="C28">
        <v>0.55452221999999995</v>
      </c>
      <c r="D28">
        <v>0.74731802607457121</v>
      </c>
      <c r="E28">
        <v>0.47696970533703248</v>
      </c>
      <c r="F28">
        <v>0.65415299999999998</v>
      </c>
      <c r="G28">
        <v>0.65387468080646005</v>
      </c>
      <c r="H28">
        <v>0.42255993061036917</v>
      </c>
      <c r="I28">
        <v>0.360711</v>
      </c>
      <c r="J28">
        <v>0.8029346231966874</v>
      </c>
      <c r="K28">
        <v>0.5876423547067896</v>
      </c>
      <c r="L28">
        <v>0.45810023999999994</v>
      </c>
      <c r="M28">
        <v>0.6684261944880302</v>
      </c>
      <c r="N28">
        <v>0.63844160915073744</v>
      </c>
      <c r="O28">
        <v>0.52853760000000005</v>
      </c>
      <c r="P28">
        <v>0.6962040965429811</v>
      </c>
      <c r="Q28">
        <v>0.49459470876831302</v>
      </c>
      <c r="R28">
        <v>0.26734219999999997</v>
      </c>
      <c r="S28">
        <v>0.7842726208108951</v>
      </c>
      <c r="T28">
        <v>0.73538783243106209</v>
      </c>
      <c r="U28">
        <v>0.33181122000000002</v>
      </c>
      <c r="V28">
        <v>0.67787546779496277</v>
      </c>
      <c r="W28">
        <v>0.74456829300893446</v>
      </c>
      <c r="X28">
        <v>0.21495628000000003</v>
      </c>
      <c r="Y28">
        <v>0.83771552720007381</v>
      </c>
      <c r="Z28">
        <v>0.78065068091066458</v>
      </c>
    </row>
    <row r="29" spans="2:26" x14ac:dyDescent="0.25">
      <c r="B29" t="s">
        <v>129</v>
      </c>
      <c r="C29">
        <v>0.46071207000000003</v>
      </c>
      <c r="D29">
        <v>0.71348679464095222</v>
      </c>
      <c r="E29">
        <v>0.56955608460318075</v>
      </c>
      <c r="F29">
        <v>0.63936735</v>
      </c>
      <c r="G29">
        <v>0.59141559671099109</v>
      </c>
      <c r="H29">
        <v>0.46198193801041354</v>
      </c>
      <c r="I29">
        <v>0.22270949999999998</v>
      </c>
      <c r="J29">
        <v>0.78772964290908232</v>
      </c>
      <c r="K29">
        <v>0.80483808516730715</v>
      </c>
      <c r="L29">
        <v>0.48510677999999996</v>
      </c>
      <c r="M29">
        <v>0.63226183262473024</v>
      </c>
      <c r="N29">
        <v>0.58157524816604556</v>
      </c>
      <c r="O29">
        <v>0.45354600000000006</v>
      </c>
      <c r="P29">
        <v>0.63798163760032156</v>
      </c>
      <c r="Q29">
        <v>0.62342051202576232</v>
      </c>
      <c r="R29">
        <v>0.33986638000000002</v>
      </c>
      <c r="S29">
        <v>0.78327026472504213</v>
      </c>
      <c r="T29">
        <v>0.65785226449179535</v>
      </c>
      <c r="U29">
        <v>0.52315133000000003</v>
      </c>
      <c r="V29">
        <v>0.71577886862997875</v>
      </c>
      <c r="W29">
        <v>0.52065647305251073</v>
      </c>
      <c r="X29">
        <v>0.18611472000000001</v>
      </c>
      <c r="Y29">
        <v>0.7895077077251621</v>
      </c>
      <c r="Z29">
        <v>0.83241587768310232</v>
      </c>
    </row>
    <row r="30" spans="2:26" x14ac:dyDescent="0.25">
      <c r="B30" t="s">
        <v>130</v>
      </c>
      <c r="C30">
        <v>0.50062963999999999</v>
      </c>
      <c r="D30">
        <v>0.74149423696322792</v>
      </c>
      <c r="E30">
        <v>0.52663583509147416</v>
      </c>
      <c r="F30">
        <v>0.56140665000000001</v>
      </c>
      <c r="G30">
        <v>0.78897093198185597</v>
      </c>
      <c r="H30">
        <v>0.46169776169211607</v>
      </c>
      <c r="I30">
        <v>0.244062</v>
      </c>
      <c r="J30">
        <v>0.80114158632159493</v>
      </c>
      <c r="K30">
        <v>0.77441688312314017</v>
      </c>
      <c r="L30">
        <v>0.38574581999999996</v>
      </c>
      <c r="M30">
        <v>0.75919518502294414</v>
      </c>
      <c r="N30">
        <v>0.62048653907274853</v>
      </c>
      <c r="O30">
        <v>0.39913380000000004</v>
      </c>
      <c r="P30">
        <v>0.73922575884109809</v>
      </c>
      <c r="Q30">
        <v>0.60194095842189399</v>
      </c>
      <c r="R30">
        <v>0.32530535999999999</v>
      </c>
      <c r="S30">
        <v>0.77057959595030645</v>
      </c>
      <c r="T30">
        <v>0.68072323625025044</v>
      </c>
      <c r="U30">
        <v>0.35186814</v>
      </c>
      <c r="V30">
        <v>0.67219371322793675</v>
      </c>
      <c r="W30">
        <v>0.71008208066711209</v>
      </c>
      <c r="X30">
        <v>0.21046784000000002</v>
      </c>
      <c r="Y30">
        <v>0.76351027131728721</v>
      </c>
      <c r="Z30">
        <v>0.84429514047210741</v>
      </c>
    </row>
    <row r="31" spans="2:26" x14ac:dyDescent="0.25">
      <c r="B31" t="s">
        <v>131</v>
      </c>
      <c r="C31">
        <v>0.71674042999999998</v>
      </c>
      <c r="D31">
        <v>0.46045926588034736</v>
      </c>
      <c r="E31">
        <v>0.28746451869389916</v>
      </c>
      <c r="F31">
        <v>0.81975228</v>
      </c>
      <c r="G31">
        <v>0.41198352214746453</v>
      </c>
      <c r="H31">
        <v>0.1994430120438056</v>
      </c>
      <c r="I31">
        <v>0.11986649999999999</v>
      </c>
      <c r="J31">
        <v>0.62990913603804677</v>
      </c>
      <c r="K31">
        <v>0.93638657894300681</v>
      </c>
      <c r="L31">
        <v>0.67805189999999993</v>
      </c>
      <c r="M31">
        <v>0.50860674225408176</v>
      </c>
      <c r="N31">
        <v>0.34269889322130576</v>
      </c>
      <c r="O31">
        <v>7.1794800000000006E-2</v>
      </c>
      <c r="P31">
        <v>0.5315153541657528</v>
      </c>
      <c r="Q31">
        <v>0.9440663031115506</v>
      </c>
      <c r="R31">
        <v>0.43739243999999999</v>
      </c>
      <c r="S31">
        <v>0.63913081924978199</v>
      </c>
      <c r="T31">
        <v>0.56532905005425993</v>
      </c>
      <c r="U31">
        <v>0.53041833000000005</v>
      </c>
      <c r="V31">
        <v>0.7594963857456174</v>
      </c>
      <c r="W31">
        <v>0.49350122278686848</v>
      </c>
      <c r="X31">
        <v>0.18358164000000002</v>
      </c>
      <c r="Y31">
        <v>0.85947475539293761</v>
      </c>
      <c r="Z31">
        <v>0.79814535009937115</v>
      </c>
    </row>
    <row r="32" spans="2:26" x14ac:dyDescent="0.25">
      <c r="B32" t="s">
        <v>132</v>
      </c>
      <c r="C32">
        <v>0.40651064999999997</v>
      </c>
      <c r="D32">
        <v>0.88385453864651287</v>
      </c>
      <c r="E32">
        <v>0.5285562381404717</v>
      </c>
      <c r="F32">
        <v>0.63192972000000003</v>
      </c>
      <c r="G32">
        <v>0.65658458620518834</v>
      </c>
      <c r="H32">
        <v>0.45876224233373697</v>
      </c>
      <c r="I32">
        <v>0.21557249999999997</v>
      </c>
      <c r="J32">
        <v>0.78162474450140695</v>
      </c>
      <c r="K32">
        <v>0.81222769709077425</v>
      </c>
      <c r="L32">
        <v>0.32646141000000001</v>
      </c>
      <c r="M32">
        <v>0.85513934753241805</v>
      </c>
      <c r="N32">
        <v>0.64023098731492833</v>
      </c>
      <c r="O32">
        <v>0.46713240000000006</v>
      </c>
      <c r="P32">
        <v>0.73411709266281699</v>
      </c>
      <c r="Q32">
        <v>0.53087258472783494</v>
      </c>
      <c r="R32">
        <v>0.16962886000000002</v>
      </c>
      <c r="S32">
        <v>0.73956841045003918</v>
      </c>
      <c r="T32">
        <v>0.83202318638451844</v>
      </c>
      <c r="U32">
        <v>0.42642755999999998</v>
      </c>
      <c r="V32">
        <v>0.68968941757339564</v>
      </c>
      <c r="W32">
        <v>0.61512467895475287</v>
      </c>
      <c r="X32">
        <v>0.24277572</v>
      </c>
      <c r="Y32">
        <v>0.81376772789281826</v>
      </c>
      <c r="Z32">
        <v>0.74895539177116377</v>
      </c>
    </row>
    <row r="33" spans="2:26" x14ac:dyDescent="0.25">
      <c r="B33" t="s">
        <v>133</v>
      </c>
      <c r="C33">
        <v>0.67157257999999997</v>
      </c>
      <c r="D33">
        <v>0.5936711086505605</v>
      </c>
      <c r="E33">
        <v>0.36927479531591972</v>
      </c>
      <c r="F33">
        <v>0.72162933000000007</v>
      </c>
      <c r="G33">
        <v>0.62345127774329734</v>
      </c>
      <c r="H33">
        <v>0.36113204732790527</v>
      </c>
      <c r="I33">
        <v>0.23183549999999997</v>
      </c>
      <c r="J33">
        <v>0.79718220943043527</v>
      </c>
      <c r="K33">
        <v>0.77500225243980536</v>
      </c>
      <c r="L33">
        <v>0.42575015999999999</v>
      </c>
      <c r="M33">
        <v>0.84337998680467541</v>
      </c>
      <c r="N33">
        <v>0.5546326230178199</v>
      </c>
      <c r="O33">
        <v>0.26013960000000003</v>
      </c>
      <c r="P33">
        <v>0.75333372554771227</v>
      </c>
      <c r="Q33">
        <v>0.77833944887854645</v>
      </c>
      <c r="R33">
        <v>0.38228529999999999</v>
      </c>
      <c r="S33">
        <v>0.68028143684233922</v>
      </c>
      <c r="T33">
        <v>0.59383115943405596</v>
      </c>
      <c r="U33">
        <v>0.37345113000000002</v>
      </c>
      <c r="V33">
        <v>0.71229943195508183</v>
      </c>
      <c r="W33">
        <v>0.66648302955244676</v>
      </c>
      <c r="X33">
        <v>0.35160928000000002</v>
      </c>
      <c r="Y33">
        <v>0.7811562335000598</v>
      </c>
      <c r="Z33">
        <v>0.6530872163859498</v>
      </c>
    </row>
    <row r="34" spans="2:26" x14ac:dyDescent="0.25">
      <c r="B34" t="s">
        <v>134</v>
      </c>
      <c r="C34">
        <v>0.25263111999999999</v>
      </c>
      <c r="D34">
        <v>0.61586298580483334</v>
      </c>
      <c r="E34">
        <v>0.82677545483748804</v>
      </c>
      <c r="F34">
        <v>0.46113305999999998</v>
      </c>
      <c r="G34">
        <v>0.75335545964280215</v>
      </c>
      <c r="H34">
        <v>0.60989250012463136</v>
      </c>
      <c r="I34">
        <v>0.34076249999999997</v>
      </c>
      <c r="J34">
        <v>0.79565362323869948</v>
      </c>
      <c r="K34">
        <v>0.60801054467956583</v>
      </c>
      <c r="L34">
        <v>0.39462765</v>
      </c>
      <c r="M34">
        <v>0.88247182949015179</v>
      </c>
      <c r="N34">
        <v>0.56485515210836135</v>
      </c>
      <c r="O34">
        <v>0.2562102</v>
      </c>
      <c r="P34">
        <v>0.78283980316766588</v>
      </c>
      <c r="Q34">
        <v>0.77493671780558471</v>
      </c>
      <c r="R34">
        <v>0.32081064000000004</v>
      </c>
      <c r="S34">
        <v>0.79217444917123525</v>
      </c>
      <c r="T34">
        <v>0.67659088849485627</v>
      </c>
      <c r="U34">
        <v>0.52155258999999998</v>
      </c>
      <c r="V34">
        <v>0.6887386828042984</v>
      </c>
      <c r="W34">
        <v>0.52403922032016947</v>
      </c>
      <c r="X34">
        <v>0.17442700000000003</v>
      </c>
      <c r="Y34">
        <v>0.75789353764232614</v>
      </c>
      <c r="Z34">
        <v>0.86161974431144883</v>
      </c>
    </row>
    <row r="37" spans="2:26" x14ac:dyDescent="0.25">
      <c r="B37" s="89" t="s">
        <v>138</v>
      </c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2:26" x14ac:dyDescent="0.25">
      <c r="C38" s="91" t="s">
        <v>107</v>
      </c>
      <c r="D38" s="89"/>
      <c r="E38" s="90"/>
      <c r="F38" s="91" t="s">
        <v>108</v>
      </c>
      <c r="G38" s="89"/>
      <c r="H38" s="90"/>
      <c r="I38" s="91" t="s">
        <v>109</v>
      </c>
      <c r="J38" s="89"/>
      <c r="K38" s="90"/>
      <c r="L38" s="91" t="s">
        <v>110</v>
      </c>
      <c r="M38" s="89"/>
      <c r="N38" s="90"/>
      <c r="O38" s="91" t="s">
        <v>111</v>
      </c>
      <c r="P38" s="89"/>
      <c r="Q38" s="90"/>
      <c r="R38" s="91" t="s">
        <v>112</v>
      </c>
      <c r="S38" s="89"/>
      <c r="T38" s="90"/>
      <c r="U38" s="91" t="s">
        <v>113</v>
      </c>
      <c r="V38" s="89"/>
      <c r="W38" s="90"/>
      <c r="X38" s="91" t="s">
        <v>114</v>
      </c>
      <c r="Y38" s="89"/>
      <c r="Z38" s="89"/>
    </row>
    <row r="39" spans="2:26" x14ac:dyDescent="0.25">
      <c r="B39" t="s">
        <v>128</v>
      </c>
      <c r="C39">
        <f>ROUND(C28,4)</f>
        <v>0.55449999999999999</v>
      </c>
      <c r="D39">
        <f t="shared" ref="D39:Z45" si="24">ROUND(D28,4)</f>
        <v>0.74729999999999996</v>
      </c>
      <c r="E39">
        <f t="shared" si="24"/>
        <v>0.47699999999999998</v>
      </c>
      <c r="F39">
        <f t="shared" si="24"/>
        <v>0.6542</v>
      </c>
      <c r="G39">
        <f t="shared" si="24"/>
        <v>0.65390000000000004</v>
      </c>
      <c r="H39">
        <f t="shared" si="24"/>
        <v>0.42259999999999998</v>
      </c>
      <c r="I39">
        <f t="shared" si="24"/>
        <v>0.36070000000000002</v>
      </c>
      <c r="J39">
        <f t="shared" si="24"/>
        <v>0.80289999999999995</v>
      </c>
      <c r="K39">
        <f t="shared" si="24"/>
        <v>0.58760000000000001</v>
      </c>
      <c r="L39">
        <f t="shared" si="24"/>
        <v>0.45810000000000001</v>
      </c>
      <c r="M39">
        <f t="shared" si="24"/>
        <v>0.66839999999999999</v>
      </c>
      <c r="N39">
        <f t="shared" si="24"/>
        <v>0.63839999999999997</v>
      </c>
      <c r="O39">
        <f t="shared" si="24"/>
        <v>0.52849999999999997</v>
      </c>
      <c r="P39">
        <f t="shared" si="24"/>
        <v>0.69620000000000004</v>
      </c>
      <c r="Q39">
        <f t="shared" si="24"/>
        <v>0.49459999999999998</v>
      </c>
      <c r="R39">
        <f t="shared" si="24"/>
        <v>0.26729999999999998</v>
      </c>
      <c r="S39">
        <f t="shared" si="24"/>
        <v>0.7843</v>
      </c>
      <c r="T39">
        <f t="shared" si="24"/>
        <v>0.73540000000000005</v>
      </c>
      <c r="U39">
        <f t="shared" si="24"/>
        <v>0.33179999999999998</v>
      </c>
      <c r="V39">
        <f t="shared" si="24"/>
        <v>0.67789999999999995</v>
      </c>
      <c r="W39">
        <f t="shared" si="24"/>
        <v>0.74460000000000004</v>
      </c>
      <c r="X39">
        <f t="shared" si="24"/>
        <v>0.215</v>
      </c>
      <c r="Y39">
        <f t="shared" si="24"/>
        <v>0.8377</v>
      </c>
      <c r="Z39">
        <f t="shared" si="24"/>
        <v>0.78069999999999995</v>
      </c>
    </row>
    <row r="40" spans="2:26" x14ac:dyDescent="0.25">
      <c r="B40" t="s">
        <v>129</v>
      </c>
      <c r="C40">
        <f t="shared" ref="C40:R45" si="25">ROUND(C29,4)</f>
        <v>0.4607</v>
      </c>
      <c r="D40">
        <f t="shared" si="25"/>
        <v>0.71350000000000002</v>
      </c>
      <c r="E40">
        <f t="shared" si="25"/>
        <v>0.5696</v>
      </c>
      <c r="F40">
        <f t="shared" si="25"/>
        <v>0.63939999999999997</v>
      </c>
      <c r="G40">
        <f t="shared" si="25"/>
        <v>0.59140000000000004</v>
      </c>
      <c r="H40">
        <f t="shared" si="25"/>
        <v>0.46200000000000002</v>
      </c>
      <c r="I40">
        <f t="shared" si="25"/>
        <v>0.22270000000000001</v>
      </c>
      <c r="J40">
        <f t="shared" si="25"/>
        <v>0.78769999999999996</v>
      </c>
      <c r="K40">
        <f t="shared" si="25"/>
        <v>0.80479999999999996</v>
      </c>
      <c r="L40">
        <f t="shared" si="25"/>
        <v>0.48509999999999998</v>
      </c>
      <c r="M40">
        <f t="shared" si="25"/>
        <v>0.63229999999999997</v>
      </c>
      <c r="N40">
        <f t="shared" si="25"/>
        <v>0.58160000000000001</v>
      </c>
      <c r="O40">
        <f t="shared" si="25"/>
        <v>0.45350000000000001</v>
      </c>
      <c r="P40">
        <f t="shared" si="25"/>
        <v>0.63800000000000001</v>
      </c>
      <c r="Q40">
        <f t="shared" si="25"/>
        <v>0.62339999999999995</v>
      </c>
      <c r="R40">
        <f t="shared" si="25"/>
        <v>0.33989999999999998</v>
      </c>
      <c r="S40">
        <f t="shared" si="24"/>
        <v>0.7833</v>
      </c>
      <c r="T40">
        <f t="shared" si="24"/>
        <v>0.65790000000000004</v>
      </c>
      <c r="U40">
        <f t="shared" si="24"/>
        <v>0.5232</v>
      </c>
      <c r="V40">
        <f t="shared" si="24"/>
        <v>0.71579999999999999</v>
      </c>
      <c r="W40">
        <f t="shared" si="24"/>
        <v>0.52070000000000005</v>
      </c>
      <c r="X40">
        <f t="shared" si="24"/>
        <v>0.18609999999999999</v>
      </c>
      <c r="Y40">
        <f t="shared" si="24"/>
        <v>0.78949999999999998</v>
      </c>
      <c r="Z40">
        <f t="shared" si="24"/>
        <v>0.83240000000000003</v>
      </c>
    </row>
    <row r="41" spans="2:26" x14ac:dyDescent="0.25">
      <c r="B41" t="s">
        <v>130</v>
      </c>
      <c r="C41">
        <f t="shared" si="25"/>
        <v>0.50060000000000004</v>
      </c>
      <c r="D41">
        <f t="shared" si="24"/>
        <v>0.74150000000000005</v>
      </c>
      <c r="E41">
        <f t="shared" si="24"/>
        <v>0.52659999999999996</v>
      </c>
      <c r="F41">
        <f t="shared" si="24"/>
        <v>0.56140000000000001</v>
      </c>
      <c r="G41">
        <f t="shared" si="24"/>
        <v>0.78900000000000003</v>
      </c>
      <c r="H41">
        <f t="shared" si="24"/>
        <v>0.4617</v>
      </c>
      <c r="I41">
        <f t="shared" si="24"/>
        <v>0.24410000000000001</v>
      </c>
      <c r="J41">
        <f t="shared" si="24"/>
        <v>0.80110000000000003</v>
      </c>
      <c r="K41">
        <f t="shared" si="24"/>
        <v>0.77439999999999998</v>
      </c>
      <c r="L41">
        <f t="shared" si="24"/>
        <v>0.38569999999999999</v>
      </c>
      <c r="M41">
        <f t="shared" si="24"/>
        <v>0.75919999999999999</v>
      </c>
      <c r="N41">
        <f t="shared" si="24"/>
        <v>0.62050000000000005</v>
      </c>
      <c r="O41">
        <f t="shared" si="24"/>
        <v>0.39910000000000001</v>
      </c>
      <c r="P41">
        <f t="shared" si="24"/>
        <v>0.73919999999999997</v>
      </c>
      <c r="Q41">
        <f t="shared" si="24"/>
        <v>0.60189999999999999</v>
      </c>
      <c r="R41">
        <f t="shared" si="24"/>
        <v>0.32529999999999998</v>
      </c>
      <c r="S41">
        <f t="shared" si="24"/>
        <v>0.77059999999999995</v>
      </c>
      <c r="T41">
        <f t="shared" si="24"/>
        <v>0.68069999999999997</v>
      </c>
      <c r="U41">
        <f t="shared" si="24"/>
        <v>0.35189999999999999</v>
      </c>
      <c r="V41">
        <f t="shared" si="24"/>
        <v>0.67220000000000002</v>
      </c>
      <c r="W41">
        <f t="shared" si="24"/>
        <v>0.71009999999999995</v>
      </c>
      <c r="X41">
        <f t="shared" si="24"/>
        <v>0.21049999999999999</v>
      </c>
      <c r="Y41">
        <f t="shared" si="24"/>
        <v>0.76349999999999996</v>
      </c>
      <c r="Z41">
        <f t="shared" si="24"/>
        <v>0.84430000000000005</v>
      </c>
    </row>
    <row r="42" spans="2:26" x14ac:dyDescent="0.25">
      <c r="B42" t="s">
        <v>131</v>
      </c>
      <c r="C42">
        <f t="shared" si="25"/>
        <v>0.7167</v>
      </c>
      <c r="D42">
        <f t="shared" si="24"/>
        <v>0.46050000000000002</v>
      </c>
      <c r="E42">
        <f t="shared" si="24"/>
        <v>0.28749999999999998</v>
      </c>
      <c r="F42">
        <f t="shared" si="24"/>
        <v>0.81979999999999997</v>
      </c>
      <c r="G42">
        <f t="shared" si="24"/>
        <v>0.41199999999999998</v>
      </c>
      <c r="H42">
        <f t="shared" si="24"/>
        <v>0.19939999999999999</v>
      </c>
      <c r="I42">
        <f t="shared" si="24"/>
        <v>0.11990000000000001</v>
      </c>
      <c r="J42">
        <f t="shared" si="24"/>
        <v>0.62990000000000002</v>
      </c>
      <c r="K42">
        <f t="shared" si="24"/>
        <v>0.93640000000000001</v>
      </c>
      <c r="L42">
        <f t="shared" si="24"/>
        <v>0.67810000000000004</v>
      </c>
      <c r="M42">
        <f t="shared" si="24"/>
        <v>0.50860000000000005</v>
      </c>
      <c r="N42">
        <f t="shared" si="24"/>
        <v>0.3427</v>
      </c>
      <c r="O42">
        <f t="shared" si="24"/>
        <v>7.1800000000000003E-2</v>
      </c>
      <c r="P42">
        <f t="shared" si="24"/>
        <v>0.53149999999999997</v>
      </c>
      <c r="Q42">
        <f t="shared" si="24"/>
        <v>0.94410000000000005</v>
      </c>
      <c r="R42">
        <f t="shared" si="24"/>
        <v>0.43740000000000001</v>
      </c>
      <c r="S42">
        <f t="shared" si="24"/>
        <v>0.6391</v>
      </c>
      <c r="T42">
        <f t="shared" si="24"/>
        <v>0.56530000000000002</v>
      </c>
      <c r="U42">
        <f t="shared" si="24"/>
        <v>0.53039999999999998</v>
      </c>
      <c r="V42">
        <f t="shared" si="24"/>
        <v>0.75949999999999995</v>
      </c>
      <c r="W42">
        <f t="shared" si="24"/>
        <v>0.49349999999999999</v>
      </c>
      <c r="X42">
        <f t="shared" si="24"/>
        <v>0.18360000000000001</v>
      </c>
      <c r="Y42">
        <f t="shared" si="24"/>
        <v>0.85950000000000004</v>
      </c>
      <c r="Z42">
        <f t="shared" si="24"/>
        <v>0.79810000000000003</v>
      </c>
    </row>
    <row r="43" spans="2:26" x14ac:dyDescent="0.25">
      <c r="B43" t="s">
        <v>132</v>
      </c>
      <c r="C43">
        <f t="shared" si="25"/>
        <v>0.40649999999999997</v>
      </c>
      <c r="D43">
        <f t="shared" si="24"/>
        <v>0.88390000000000002</v>
      </c>
      <c r="E43">
        <f t="shared" si="24"/>
        <v>0.52859999999999996</v>
      </c>
      <c r="F43">
        <f t="shared" si="24"/>
        <v>0.63190000000000002</v>
      </c>
      <c r="G43">
        <f t="shared" si="24"/>
        <v>0.65659999999999996</v>
      </c>
      <c r="H43">
        <f t="shared" si="24"/>
        <v>0.45879999999999999</v>
      </c>
      <c r="I43">
        <f t="shared" si="24"/>
        <v>0.21560000000000001</v>
      </c>
      <c r="J43">
        <f t="shared" si="24"/>
        <v>0.78159999999999996</v>
      </c>
      <c r="K43">
        <f t="shared" si="24"/>
        <v>0.81220000000000003</v>
      </c>
      <c r="L43">
        <f t="shared" si="24"/>
        <v>0.32650000000000001</v>
      </c>
      <c r="M43">
        <f t="shared" si="24"/>
        <v>0.85509999999999997</v>
      </c>
      <c r="N43">
        <f t="shared" si="24"/>
        <v>0.64019999999999999</v>
      </c>
      <c r="O43">
        <f t="shared" si="24"/>
        <v>0.46710000000000002</v>
      </c>
      <c r="P43">
        <f t="shared" si="24"/>
        <v>0.73409999999999997</v>
      </c>
      <c r="Q43">
        <f t="shared" si="24"/>
        <v>0.53090000000000004</v>
      </c>
      <c r="R43">
        <f t="shared" si="24"/>
        <v>0.1696</v>
      </c>
      <c r="S43">
        <f t="shared" si="24"/>
        <v>0.73960000000000004</v>
      </c>
      <c r="T43">
        <f t="shared" si="24"/>
        <v>0.83199999999999996</v>
      </c>
      <c r="U43">
        <f t="shared" si="24"/>
        <v>0.4264</v>
      </c>
      <c r="V43">
        <f t="shared" si="24"/>
        <v>0.68969999999999998</v>
      </c>
      <c r="W43">
        <f t="shared" si="24"/>
        <v>0.61509999999999998</v>
      </c>
      <c r="X43">
        <f t="shared" si="24"/>
        <v>0.24279999999999999</v>
      </c>
      <c r="Y43">
        <f t="shared" si="24"/>
        <v>0.81379999999999997</v>
      </c>
      <c r="Z43">
        <f t="shared" si="24"/>
        <v>0.749</v>
      </c>
    </row>
    <row r="44" spans="2:26" x14ac:dyDescent="0.25">
      <c r="B44" t="s">
        <v>133</v>
      </c>
      <c r="C44">
        <f t="shared" si="25"/>
        <v>0.67159999999999997</v>
      </c>
      <c r="D44">
        <f t="shared" si="24"/>
        <v>0.59370000000000001</v>
      </c>
      <c r="E44">
        <f t="shared" si="24"/>
        <v>0.36930000000000002</v>
      </c>
      <c r="F44">
        <f t="shared" si="24"/>
        <v>0.72160000000000002</v>
      </c>
      <c r="G44">
        <f t="shared" si="24"/>
        <v>0.62350000000000005</v>
      </c>
      <c r="H44">
        <f t="shared" si="24"/>
        <v>0.36109999999999998</v>
      </c>
      <c r="I44">
        <f t="shared" si="24"/>
        <v>0.23180000000000001</v>
      </c>
      <c r="J44">
        <f t="shared" si="24"/>
        <v>0.79720000000000002</v>
      </c>
      <c r="K44">
        <f t="shared" si="24"/>
        <v>0.77500000000000002</v>
      </c>
      <c r="L44">
        <f t="shared" si="24"/>
        <v>0.42580000000000001</v>
      </c>
      <c r="M44">
        <f t="shared" si="24"/>
        <v>0.84340000000000004</v>
      </c>
      <c r="N44">
        <f t="shared" si="24"/>
        <v>0.55459999999999998</v>
      </c>
      <c r="O44">
        <f t="shared" si="24"/>
        <v>0.2601</v>
      </c>
      <c r="P44">
        <f t="shared" si="24"/>
        <v>0.75329999999999997</v>
      </c>
      <c r="Q44">
        <f t="shared" si="24"/>
        <v>0.77829999999999999</v>
      </c>
      <c r="R44">
        <f t="shared" si="24"/>
        <v>0.38229999999999997</v>
      </c>
      <c r="S44">
        <f t="shared" si="24"/>
        <v>0.68030000000000002</v>
      </c>
      <c r="T44">
        <f t="shared" si="24"/>
        <v>0.59379999999999999</v>
      </c>
      <c r="U44">
        <f t="shared" si="24"/>
        <v>0.3735</v>
      </c>
      <c r="V44">
        <f t="shared" si="24"/>
        <v>0.71230000000000004</v>
      </c>
      <c r="W44">
        <f t="shared" si="24"/>
        <v>0.66649999999999998</v>
      </c>
      <c r="X44">
        <f t="shared" si="24"/>
        <v>0.35160000000000002</v>
      </c>
      <c r="Y44">
        <f t="shared" si="24"/>
        <v>0.78120000000000001</v>
      </c>
      <c r="Z44">
        <f t="shared" si="24"/>
        <v>0.65310000000000001</v>
      </c>
    </row>
    <row r="45" spans="2:26" x14ac:dyDescent="0.25">
      <c r="B45" t="s">
        <v>134</v>
      </c>
      <c r="C45">
        <f t="shared" si="25"/>
        <v>0.25259999999999999</v>
      </c>
      <c r="D45">
        <f t="shared" si="24"/>
        <v>0.6159</v>
      </c>
      <c r="E45">
        <f t="shared" si="24"/>
        <v>0.82679999999999998</v>
      </c>
      <c r="F45">
        <f t="shared" si="24"/>
        <v>0.46110000000000001</v>
      </c>
      <c r="G45">
        <f t="shared" si="24"/>
        <v>0.75339999999999996</v>
      </c>
      <c r="H45">
        <f t="shared" si="24"/>
        <v>0.6099</v>
      </c>
      <c r="I45">
        <f t="shared" si="24"/>
        <v>0.34079999999999999</v>
      </c>
      <c r="J45">
        <f t="shared" si="24"/>
        <v>0.79569999999999996</v>
      </c>
      <c r="K45">
        <f t="shared" si="24"/>
        <v>0.60799999999999998</v>
      </c>
      <c r="L45">
        <f t="shared" si="24"/>
        <v>0.39460000000000001</v>
      </c>
      <c r="M45">
        <f t="shared" si="24"/>
        <v>0.88249999999999995</v>
      </c>
      <c r="N45">
        <f t="shared" si="24"/>
        <v>0.56489999999999996</v>
      </c>
      <c r="O45">
        <f t="shared" si="24"/>
        <v>0.25619999999999998</v>
      </c>
      <c r="P45">
        <f t="shared" si="24"/>
        <v>0.78280000000000005</v>
      </c>
      <c r="Q45">
        <f t="shared" si="24"/>
        <v>0.77490000000000003</v>
      </c>
      <c r="R45">
        <f t="shared" si="24"/>
        <v>0.32079999999999997</v>
      </c>
      <c r="S45">
        <f t="shared" si="24"/>
        <v>0.79220000000000002</v>
      </c>
      <c r="T45">
        <f t="shared" si="24"/>
        <v>0.67659999999999998</v>
      </c>
      <c r="U45">
        <f t="shared" si="24"/>
        <v>0.52159999999999995</v>
      </c>
      <c r="V45">
        <f t="shared" si="24"/>
        <v>0.68869999999999998</v>
      </c>
      <c r="W45">
        <f t="shared" si="24"/>
        <v>0.52400000000000002</v>
      </c>
      <c r="X45">
        <f t="shared" si="24"/>
        <v>0.1744</v>
      </c>
      <c r="Y45">
        <f t="shared" si="24"/>
        <v>0.75790000000000002</v>
      </c>
      <c r="Z45">
        <f t="shared" si="24"/>
        <v>0.86160000000000003</v>
      </c>
    </row>
    <row r="48" spans="2:26" ht="15.75" thickBot="1" x14ac:dyDescent="0.3"/>
    <row r="49" spans="2:26" x14ac:dyDescent="0.25">
      <c r="B49" s="94" t="s">
        <v>139</v>
      </c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3"/>
    </row>
    <row r="50" spans="2:26" x14ac:dyDescent="0.25">
      <c r="B50" s="13"/>
      <c r="C50" s="91" t="s">
        <v>107</v>
      </c>
      <c r="D50" s="89"/>
      <c r="E50" s="90"/>
      <c r="F50" s="91" t="s">
        <v>108</v>
      </c>
      <c r="G50" s="89"/>
      <c r="H50" s="90"/>
      <c r="I50" s="91" t="s">
        <v>109</v>
      </c>
      <c r="J50" s="89"/>
      <c r="K50" s="90"/>
      <c r="L50" s="91" t="s">
        <v>110</v>
      </c>
      <c r="M50" s="89"/>
      <c r="N50" s="90"/>
      <c r="O50" s="91" t="s">
        <v>111</v>
      </c>
      <c r="P50" s="89"/>
      <c r="Q50" s="90"/>
      <c r="R50" s="91" t="s">
        <v>112</v>
      </c>
      <c r="S50" s="89"/>
      <c r="T50" s="90"/>
      <c r="U50" s="91" t="s">
        <v>113</v>
      </c>
      <c r="V50" s="89"/>
      <c r="W50" s="90"/>
      <c r="X50" s="91" t="s">
        <v>114</v>
      </c>
      <c r="Y50" s="89"/>
      <c r="Z50" s="90"/>
    </row>
    <row r="51" spans="2:26" x14ac:dyDescent="0.25">
      <c r="B51" s="13" t="s">
        <v>128</v>
      </c>
      <c r="C51">
        <v>0.55449999999999999</v>
      </c>
      <c r="D51">
        <v>0.74729999999999996</v>
      </c>
      <c r="E51">
        <v>0.47699999999999998</v>
      </c>
      <c r="F51">
        <v>0.6542</v>
      </c>
      <c r="G51">
        <v>0.65390000000000004</v>
      </c>
      <c r="H51">
        <v>0.42259999999999998</v>
      </c>
      <c r="I51">
        <v>0.36070000000000002</v>
      </c>
      <c r="J51">
        <v>0.80289999999999995</v>
      </c>
      <c r="K51">
        <v>0.58760000000000001</v>
      </c>
      <c r="L51">
        <v>0.45810000000000001</v>
      </c>
      <c r="M51">
        <v>0.66839999999999999</v>
      </c>
      <c r="N51">
        <v>0.63839999999999997</v>
      </c>
      <c r="O51">
        <v>0.52849999999999997</v>
      </c>
      <c r="P51">
        <v>0.69620000000000004</v>
      </c>
      <c r="Q51">
        <v>0.49459999999999998</v>
      </c>
      <c r="R51">
        <v>0.26729999999999998</v>
      </c>
      <c r="S51">
        <v>0.7843</v>
      </c>
      <c r="T51">
        <v>0.73540000000000005</v>
      </c>
      <c r="U51">
        <v>0.33179999999999998</v>
      </c>
      <c r="V51">
        <v>0.67789999999999995</v>
      </c>
      <c r="W51">
        <v>0.74460000000000004</v>
      </c>
      <c r="X51">
        <v>0.215</v>
      </c>
      <c r="Y51">
        <v>0.8377</v>
      </c>
      <c r="Z51" s="14">
        <v>0.78069999999999995</v>
      </c>
    </row>
    <row r="52" spans="2:26" x14ac:dyDescent="0.25">
      <c r="B52" s="13" t="s">
        <v>129</v>
      </c>
      <c r="C52">
        <v>0.4607</v>
      </c>
      <c r="D52">
        <v>0.71350000000000002</v>
      </c>
      <c r="E52">
        <v>0.5696</v>
      </c>
      <c r="F52">
        <v>0.63939999999999997</v>
      </c>
      <c r="G52">
        <v>0.59140000000000004</v>
      </c>
      <c r="H52">
        <v>0.46200000000000002</v>
      </c>
      <c r="I52">
        <v>0.22270000000000001</v>
      </c>
      <c r="J52">
        <v>0.78769999999999996</v>
      </c>
      <c r="K52">
        <v>0.80479999999999996</v>
      </c>
      <c r="L52">
        <v>0.48509999999999998</v>
      </c>
      <c r="M52">
        <v>0.63229999999999997</v>
      </c>
      <c r="N52">
        <v>0.58160000000000001</v>
      </c>
      <c r="O52">
        <v>0.45350000000000001</v>
      </c>
      <c r="P52">
        <v>0.63800000000000001</v>
      </c>
      <c r="Q52">
        <v>0.62339999999999995</v>
      </c>
      <c r="R52">
        <v>0.33989999999999998</v>
      </c>
      <c r="S52">
        <v>0.7833</v>
      </c>
      <c r="T52">
        <v>0.65790000000000004</v>
      </c>
      <c r="U52">
        <v>0.5232</v>
      </c>
      <c r="V52">
        <v>0.71579999999999999</v>
      </c>
      <c r="W52">
        <v>0.52070000000000005</v>
      </c>
      <c r="X52">
        <v>0.18609999999999999</v>
      </c>
      <c r="Y52">
        <v>0.78949999999999998</v>
      </c>
      <c r="Z52" s="14">
        <v>0.83240000000000003</v>
      </c>
    </row>
    <row r="53" spans="2:26" x14ac:dyDescent="0.25">
      <c r="B53" s="13" t="s">
        <v>130</v>
      </c>
      <c r="C53">
        <v>0.50060000000000004</v>
      </c>
      <c r="D53">
        <v>0.74150000000000005</v>
      </c>
      <c r="E53">
        <v>0.52659999999999996</v>
      </c>
      <c r="F53">
        <v>0.56140000000000001</v>
      </c>
      <c r="G53">
        <v>0.78900000000000003</v>
      </c>
      <c r="H53">
        <v>0.4617</v>
      </c>
      <c r="I53">
        <v>0.24410000000000001</v>
      </c>
      <c r="J53">
        <v>0.80110000000000003</v>
      </c>
      <c r="K53">
        <v>0.77439999999999998</v>
      </c>
      <c r="L53">
        <v>0.38569999999999999</v>
      </c>
      <c r="M53">
        <v>0.75919999999999999</v>
      </c>
      <c r="N53">
        <v>0.62050000000000005</v>
      </c>
      <c r="O53">
        <v>0.39910000000000001</v>
      </c>
      <c r="P53">
        <v>0.73919999999999997</v>
      </c>
      <c r="Q53">
        <v>0.60189999999999999</v>
      </c>
      <c r="R53">
        <v>0.32529999999999998</v>
      </c>
      <c r="S53">
        <v>0.77059999999999995</v>
      </c>
      <c r="T53">
        <v>0.68069999999999997</v>
      </c>
      <c r="U53">
        <v>0.35189999999999999</v>
      </c>
      <c r="V53">
        <v>0.67220000000000002</v>
      </c>
      <c r="W53">
        <v>0.71009999999999995</v>
      </c>
      <c r="X53">
        <v>0.21049999999999999</v>
      </c>
      <c r="Y53">
        <v>0.76349999999999996</v>
      </c>
      <c r="Z53" s="14">
        <v>0.84430000000000005</v>
      </c>
    </row>
    <row r="54" spans="2:26" x14ac:dyDescent="0.25">
      <c r="B54" s="13" t="s">
        <v>131</v>
      </c>
      <c r="C54">
        <v>0.7167</v>
      </c>
      <c r="D54">
        <v>0.46050000000000002</v>
      </c>
      <c r="E54">
        <v>0.28749999999999998</v>
      </c>
      <c r="F54">
        <v>0.81979999999999997</v>
      </c>
      <c r="G54">
        <v>0.41199999999999998</v>
      </c>
      <c r="H54">
        <v>0.19939999999999999</v>
      </c>
      <c r="I54">
        <v>0.11990000000000001</v>
      </c>
      <c r="J54">
        <v>0.62990000000000002</v>
      </c>
      <c r="K54">
        <v>0.93640000000000001</v>
      </c>
      <c r="L54">
        <v>0.67810000000000004</v>
      </c>
      <c r="M54">
        <v>0.50860000000000005</v>
      </c>
      <c r="N54">
        <v>0.3427</v>
      </c>
      <c r="O54">
        <v>7.1800000000000003E-2</v>
      </c>
      <c r="P54">
        <v>0.53149999999999997</v>
      </c>
      <c r="Q54">
        <v>0.94410000000000005</v>
      </c>
      <c r="R54">
        <v>0.43740000000000001</v>
      </c>
      <c r="S54">
        <v>0.6391</v>
      </c>
      <c r="T54">
        <v>0.56530000000000002</v>
      </c>
      <c r="U54">
        <v>0.53039999999999998</v>
      </c>
      <c r="V54">
        <v>0.75949999999999995</v>
      </c>
      <c r="W54">
        <v>0.49349999999999999</v>
      </c>
      <c r="X54">
        <v>0.18360000000000001</v>
      </c>
      <c r="Y54">
        <v>0.85950000000000004</v>
      </c>
      <c r="Z54" s="14">
        <v>0.79810000000000003</v>
      </c>
    </row>
    <row r="55" spans="2:26" x14ac:dyDescent="0.25">
      <c r="B55" s="13" t="s">
        <v>132</v>
      </c>
      <c r="C55">
        <v>0.40649999999999997</v>
      </c>
      <c r="D55">
        <v>0.88390000000000002</v>
      </c>
      <c r="E55">
        <v>0.52859999999999996</v>
      </c>
      <c r="F55">
        <v>0.63190000000000002</v>
      </c>
      <c r="G55">
        <v>0.65659999999999996</v>
      </c>
      <c r="H55">
        <v>0.45879999999999999</v>
      </c>
      <c r="I55">
        <v>0.21560000000000001</v>
      </c>
      <c r="J55">
        <v>0.78159999999999996</v>
      </c>
      <c r="K55">
        <v>0.81220000000000003</v>
      </c>
      <c r="L55">
        <v>0.32650000000000001</v>
      </c>
      <c r="M55">
        <v>0.85509999999999997</v>
      </c>
      <c r="N55">
        <v>0.64019999999999999</v>
      </c>
      <c r="O55">
        <v>0.46710000000000002</v>
      </c>
      <c r="P55">
        <v>0.73409999999999997</v>
      </c>
      <c r="Q55">
        <v>0.53090000000000004</v>
      </c>
      <c r="R55">
        <v>0.1696</v>
      </c>
      <c r="S55">
        <v>0.73960000000000004</v>
      </c>
      <c r="T55">
        <v>0.83199999999999996</v>
      </c>
      <c r="U55">
        <v>0.4264</v>
      </c>
      <c r="V55">
        <v>0.68969999999999998</v>
      </c>
      <c r="W55">
        <v>0.61509999999999998</v>
      </c>
      <c r="X55">
        <v>0.24279999999999999</v>
      </c>
      <c r="Y55">
        <v>0.81379999999999997</v>
      </c>
      <c r="Z55" s="14">
        <v>0.749</v>
      </c>
    </row>
    <row r="56" spans="2:26" x14ac:dyDescent="0.25">
      <c r="B56" s="13" t="s">
        <v>133</v>
      </c>
      <c r="C56">
        <v>0.67159999999999997</v>
      </c>
      <c r="D56">
        <v>0.59370000000000001</v>
      </c>
      <c r="E56">
        <v>0.36930000000000002</v>
      </c>
      <c r="F56">
        <v>0.72160000000000002</v>
      </c>
      <c r="G56">
        <v>0.62350000000000005</v>
      </c>
      <c r="H56">
        <v>0.36109999999999998</v>
      </c>
      <c r="I56">
        <v>0.23180000000000001</v>
      </c>
      <c r="J56">
        <v>0.79720000000000002</v>
      </c>
      <c r="K56">
        <v>0.77500000000000002</v>
      </c>
      <c r="L56">
        <v>0.42580000000000001</v>
      </c>
      <c r="M56">
        <v>0.84340000000000004</v>
      </c>
      <c r="N56">
        <v>0.55459999999999998</v>
      </c>
      <c r="O56">
        <v>0.2601</v>
      </c>
      <c r="P56">
        <v>0.75329999999999997</v>
      </c>
      <c r="Q56">
        <v>0.77829999999999999</v>
      </c>
      <c r="R56">
        <v>0.38229999999999997</v>
      </c>
      <c r="S56">
        <v>0.68030000000000002</v>
      </c>
      <c r="T56">
        <v>0.59379999999999999</v>
      </c>
      <c r="U56">
        <v>0.3735</v>
      </c>
      <c r="V56">
        <v>0.71230000000000004</v>
      </c>
      <c r="W56">
        <v>0.66649999999999998</v>
      </c>
      <c r="X56">
        <v>0.35160000000000002</v>
      </c>
      <c r="Y56">
        <v>0.78120000000000001</v>
      </c>
      <c r="Z56" s="14">
        <v>0.65310000000000001</v>
      </c>
    </row>
    <row r="57" spans="2:26" ht="15.75" thickBot="1" x14ac:dyDescent="0.3">
      <c r="B57" s="15" t="s">
        <v>134</v>
      </c>
      <c r="C57" s="16">
        <v>0.25259999999999999</v>
      </c>
      <c r="D57" s="16">
        <v>0.6159</v>
      </c>
      <c r="E57" s="16">
        <v>0.82679999999999998</v>
      </c>
      <c r="F57" s="16">
        <v>0.46110000000000001</v>
      </c>
      <c r="G57" s="16">
        <v>0.75339999999999996</v>
      </c>
      <c r="H57" s="16">
        <v>0.6099</v>
      </c>
      <c r="I57" s="16">
        <v>0.34079999999999999</v>
      </c>
      <c r="J57" s="16">
        <v>0.79569999999999996</v>
      </c>
      <c r="K57" s="16">
        <v>0.60799999999999998</v>
      </c>
      <c r="L57" s="16">
        <v>0.39460000000000001</v>
      </c>
      <c r="M57" s="16">
        <v>0.88249999999999995</v>
      </c>
      <c r="N57" s="16">
        <v>0.56489999999999996</v>
      </c>
      <c r="O57" s="16">
        <v>0.25619999999999998</v>
      </c>
      <c r="P57" s="16">
        <v>0.78280000000000005</v>
      </c>
      <c r="Q57" s="16">
        <v>0.77490000000000003</v>
      </c>
      <c r="R57" s="16">
        <v>0.32079999999999997</v>
      </c>
      <c r="S57" s="16">
        <v>0.79220000000000002</v>
      </c>
      <c r="T57" s="16">
        <v>0.67659999999999998</v>
      </c>
      <c r="U57" s="16">
        <v>0.52159999999999995</v>
      </c>
      <c r="V57" s="16">
        <v>0.68869999999999998</v>
      </c>
      <c r="W57" s="16">
        <v>0.52400000000000002</v>
      </c>
      <c r="X57" s="16">
        <v>0.1744</v>
      </c>
      <c r="Y57" s="16">
        <v>0.75790000000000002</v>
      </c>
      <c r="Z57" s="17">
        <v>0.86160000000000003</v>
      </c>
    </row>
    <row r="59" spans="2:26" ht="15.75" thickBot="1" x14ac:dyDescent="0.3"/>
    <row r="60" spans="2:26" x14ac:dyDescent="0.25">
      <c r="B60" s="104" t="s">
        <v>143</v>
      </c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6"/>
    </row>
    <row r="61" spans="2:26" x14ac:dyDescent="0.25">
      <c r="B61" s="52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4"/>
    </row>
    <row r="62" spans="2:26" x14ac:dyDescent="0.25">
      <c r="B62" s="52" t="s">
        <v>128</v>
      </c>
      <c r="C62" s="107">
        <f>C51^2+D51^2+E51^2</f>
        <v>1.09345654</v>
      </c>
      <c r="D62" s="107"/>
      <c r="E62" s="107"/>
      <c r="F62" s="107">
        <f t="shared" ref="F62" si="26">F51^2+G51^2+H51^2</f>
        <v>1.0341536100000002</v>
      </c>
      <c r="G62" s="107"/>
      <c r="H62" s="107"/>
      <c r="I62" s="107">
        <f t="shared" ref="I62" si="27">I51^2+J51^2+K51^2</f>
        <v>1.12002666</v>
      </c>
      <c r="J62" s="107"/>
      <c r="K62" s="107"/>
      <c r="L62" s="107">
        <f t="shared" ref="L62" si="28">L51^2+M51^2+N51^2</f>
        <v>1.06416873</v>
      </c>
      <c r="M62" s="107"/>
      <c r="N62" s="107"/>
      <c r="O62" s="107">
        <f t="shared" ref="O62" si="29">O51^2+P51^2+Q51^2</f>
        <v>1.0086358499999999</v>
      </c>
      <c r="P62" s="107"/>
      <c r="Q62" s="107"/>
      <c r="R62" s="107">
        <f t="shared" ref="R62" si="30">R51^2+S51^2+T51^2</f>
        <v>1.22738894</v>
      </c>
      <c r="S62" s="107"/>
      <c r="T62" s="107"/>
      <c r="U62" s="107">
        <f t="shared" ref="U62" si="31">U51^2+V51^2+W51^2</f>
        <v>1.12406881</v>
      </c>
      <c r="V62" s="107"/>
      <c r="W62" s="107"/>
      <c r="X62" s="107">
        <f t="shared" ref="X62" si="32">X51^2+Y51^2+Z51^2</f>
        <v>1.35745878</v>
      </c>
      <c r="Y62" s="107"/>
      <c r="Z62" s="108"/>
    </row>
    <row r="63" spans="2:26" x14ac:dyDescent="0.25">
      <c r="B63" s="52" t="s">
        <v>129</v>
      </c>
      <c r="C63" s="107">
        <f t="shared" ref="C63:C68" si="33">C52^2+D52^2+E52^2</f>
        <v>1.0457708999999999</v>
      </c>
      <c r="D63" s="107"/>
      <c r="E63" s="107"/>
      <c r="F63" s="107">
        <f t="shared" ref="F63:F68" si="34">F52^2+G52^2+H52^2</f>
        <v>0.97203032</v>
      </c>
      <c r="G63" s="107"/>
      <c r="H63" s="107"/>
      <c r="I63" s="107">
        <f t="shared" ref="I63:I68" si="35">I52^2+J52^2+K52^2</f>
        <v>1.3177696199999998</v>
      </c>
      <c r="J63" s="107"/>
      <c r="K63" s="107"/>
      <c r="L63" s="107">
        <f t="shared" ref="L63:L68" si="36">L52^2+M52^2+N52^2</f>
        <v>0.97338385999999988</v>
      </c>
      <c r="M63" s="107"/>
      <c r="N63" s="107"/>
      <c r="O63" s="107">
        <f t="shared" ref="O63:O68" si="37">O52^2+P52^2+Q52^2</f>
        <v>1.00133381</v>
      </c>
      <c r="P63" s="107"/>
      <c r="Q63" s="107"/>
      <c r="R63" s="107">
        <f t="shared" ref="R63:R68" si="38">R52^2+S52^2+T52^2</f>
        <v>1.1619233100000002</v>
      </c>
      <c r="S63" s="107"/>
      <c r="T63" s="107"/>
      <c r="U63" s="107">
        <f t="shared" ref="U63:U68" si="39">U52^2+V52^2+W52^2</f>
        <v>1.05723637</v>
      </c>
      <c r="V63" s="107"/>
      <c r="W63" s="107"/>
      <c r="X63" s="107">
        <f t="shared" ref="X63:X68" si="40">X52^2+Y52^2+Z52^2</f>
        <v>1.3508332199999999</v>
      </c>
      <c r="Y63" s="107"/>
      <c r="Z63" s="108"/>
    </row>
    <row r="64" spans="2:26" x14ac:dyDescent="0.25">
      <c r="B64" s="52" t="s">
        <v>130</v>
      </c>
      <c r="C64" s="107">
        <f t="shared" si="33"/>
        <v>1.0777301699999999</v>
      </c>
      <c r="D64" s="107"/>
      <c r="E64" s="107"/>
      <c r="F64" s="107">
        <f t="shared" si="34"/>
        <v>1.15085785</v>
      </c>
      <c r="G64" s="107"/>
      <c r="H64" s="107"/>
      <c r="I64" s="107">
        <f t="shared" si="35"/>
        <v>1.30104138</v>
      </c>
      <c r="J64" s="107"/>
      <c r="K64" s="107"/>
      <c r="L64" s="107">
        <f t="shared" si="36"/>
        <v>1.1101693800000001</v>
      </c>
      <c r="M64" s="107"/>
      <c r="N64" s="107"/>
      <c r="O64" s="107">
        <f t="shared" si="37"/>
        <v>1.0679810599999999</v>
      </c>
      <c r="P64" s="107"/>
      <c r="Q64" s="107"/>
      <c r="R64" s="107">
        <f t="shared" si="38"/>
        <v>1.16299694</v>
      </c>
      <c r="S64" s="107"/>
      <c r="T64" s="107"/>
      <c r="U64" s="107">
        <f t="shared" si="39"/>
        <v>1.0799284600000001</v>
      </c>
      <c r="V64" s="107"/>
      <c r="W64" s="107"/>
      <c r="X64" s="107">
        <f t="shared" si="40"/>
        <v>1.34008499</v>
      </c>
      <c r="Y64" s="107"/>
      <c r="Z64" s="108"/>
    </row>
    <row r="65" spans="2:26" x14ac:dyDescent="0.25">
      <c r="B65" s="52" t="s">
        <v>131</v>
      </c>
      <c r="C65" s="107">
        <f t="shared" si="33"/>
        <v>0.80837539000000003</v>
      </c>
      <c r="D65" s="107"/>
      <c r="E65" s="107"/>
      <c r="F65" s="107">
        <f t="shared" si="34"/>
        <v>0.88157639999999993</v>
      </c>
      <c r="G65" s="107"/>
      <c r="H65" s="107"/>
      <c r="I65" s="107">
        <f t="shared" si="35"/>
        <v>1.2879949800000001</v>
      </c>
      <c r="J65" s="107"/>
      <c r="K65" s="107"/>
      <c r="L65" s="107">
        <f t="shared" si="36"/>
        <v>0.83593686000000011</v>
      </c>
      <c r="M65" s="107"/>
      <c r="N65" s="107"/>
      <c r="O65" s="107">
        <f t="shared" si="37"/>
        <v>1.1789723000000001</v>
      </c>
      <c r="P65" s="107"/>
      <c r="Q65" s="107"/>
      <c r="R65" s="107">
        <f t="shared" si="38"/>
        <v>0.91933166000000011</v>
      </c>
      <c r="S65" s="107"/>
      <c r="T65" s="107"/>
      <c r="U65" s="107">
        <f t="shared" si="39"/>
        <v>1.1017066599999998</v>
      </c>
      <c r="V65" s="107"/>
      <c r="W65" s="107"/>
      <c r="X65" s="107">
        <f t="shared" si="40"/>
        <v>1.40941282</v>
      </c>
      <c r="Y65" s="107"/>
      <c r="Z65" s="108"/>
    </row>
    <row r="66" spans="2:26" x14ac:dyDescent="0.25">
      <c r="B66" s="52" t="s">
        <v>132</v>
      </c>
      <c r="C66" s="107">
        <f t="shared" si="33"/>
        <v>1.22593942</v>
      </c>
      <c r="D66" s="107"/>
      <c r="E66" s="107"/>
      <c r="F66" s="107">
        <f t="shared" si="34"/>
        <v>1.0409186099999999</v>
      </c>
      <c r="G66" s="107"/>
      <c r="H66" s="107"/>
      <c r="I66" s="107">
        <f t="shared" si="35"/>
        <v>1.3170507599999999</v>
      </c>
      <c r="J66" s="107"/>
      <c r="K66" s="107"/>
      <c r="L66" s="107">
        <f t="shared" si="36"/>
        <v>1.2476542999999998</v>
      </c>
      <c r="M66" s="107"/>
      <c r="N66" s="107"/>
      <c r="O66" s="107">
        <f t="shared" si="37"/>
        <v>1.03894003</v>
      </c>
      <c r="P66" s="107"/>
      <c r="Q66" s="107"/>
      <c r="R66" s="107">
        <f t="shared" si="38"/>
        <v>1.26799632</v>
      </c>
      <c r="S66" s="107"/>
      <c r="T66" s="107"/>
      <c r="U66" s="107">
        <f t="shared" si="39"/>
        <v>1.0358510599999999</v>
      </c>
      <c r="V66" s="107"/>
      <c r="W66" s="107"/>
      <c r="X66" s="107">
        <f t="shared" si="40"/>
        <v>1.2822232799999997</v>
      </c>
      <c r="Y66" s="107"/>
      <c r="Z66" s="108"/>
    </row>
    <row r="67" spans="2:26" x14ac:dyDescent="0.25">
      <c r="B67" s="52" t="s">
        <v>133</v>
      </c>
      <c r="C67" s="107">
        <f t="shared" si="33"/>
        <v>0.93990874000000002</v>
      </c>
      <c r="D67" s="107"/>
      <c r="E67" s="107"/>
      <c r="F67" s="107">
        <f t="shared" si="34"/>
        <v>1.0398520200000001</v>
      </c>
      <c r="G67" s="107"/>
      <c r="H67" s="107"/>
      <c r="I67" s="107">
        <f t="shared" si="35"/>
        <v>1.2898840800000002</v>
      </c>
      <c r="J67" s="107"/>
      <c r="K67" s="107"/>
      <c r="L67" s="107">
        <f t="shared" si="36"/>
        <v>1.20021036</v>
      </c>
      <c r="M67" s="107"/>
      <c r="N67" s="107"/>
      <c r="O67" s="107">
        <f t="shared" si="37"/>
        <v>1.2408637900000001</v>
      </c>
      <c r="P67" s="107"/>
      <c r="Q67" s="107"/>
      <c r="R67" s="107">
        <f t="shared" si="38"/>
        <v>0.96155981999999995</v>
      </c>
      <c r="S67" s="107"/>
      <c r="T67" s="107"/>
      <c r="U67" s="107">
        <f t="shared" si="39"/>
        <v>1.09109579</v>
      </c>
      <c r="V67" s="107"/>
      <c r="W67" s="107"/>
      <c r="X67" s="107">
        <f t="shared" si="40"/>
        <v>1.1604356100000002</v>
      </c>
      <c r="Y67" s="107"/>
      <c r="Z67" s="108"/>
    </row>
    <row r="68" spans="2:26" ht="15.75" thickBot="1" x14ac:dyDescent="0.3">
      <c r="B68" s="55" t="s">
        <v>134</v>
      </c>
      <c r="C68" s="109">
        <f t="shared" si="33"/>
        <v>1.1267378099999998</v>
      </c>
      <c r="D68" s="109"/>
      <c r="E68" s="109"/>
      <c r="F68" s="109">
        <f t="shared" si="34"/>
        <v>1.1522027799999999</v>
      </c>
      <c r="G68" s="109"/>
      <c r="H68" s="109"/>
      <c r="I68" s="109">
        <f t="shared" si="35"/>
        <v>1.11894713</v>
      </c>
      <c r="J68" s="109"/>
      <c r="K68" s="109"/>
      <c r="L68" s="109">
        <f t="shared" si="36"/>
        <v>1.2536274199999999</v>
      </c>
      <c r="M68" s="109"/>
      <c r="N68" s="109"/>
      <c r="O68" s="109">
        <f t="shared" si="37"/>
        <v>1.2788842900000001</v>
      </c>
      <c r="P68" s="109"/>
      <c r="Q68" s="109"/>
      <c r="R68" s="109">
        <f t="shared" si="38"/>
        <v>1.1882810400000001</v>
      </c>
      <c r="S68" s="109"/>
      <c r="T68" s="109"/>
      <c r="U68" s="109">
        <f t="shared" si="39"/>
        <v>1.0209502499999998</v>
      </c>
      <c r="V68" s="109"/>
      <c r="W68" s="109"/>
      <c r="X68" s="109">
        <f t="shared" si="40"/>
        <v>1.3471823300000001</v>
      </c>
      <c r="Y68" s="109"/>
      <c r="Z68" s="110"/>
    </row>
    <row r="70" spans="2:26" ht="15.75" thickBot="1" x14ac:dyDescent="0.3"/>
    <row r="71" spans="2:26" x14ac:dyDescent="0.25">
      <c r="B71" s="94" t="s">
        <v>144</v>
      </c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3"/>
    </row>
    <row r="72" spans="2:26" x14ac:dyDescent="0.25">
      <c r="B72" s="13"/>
      <c r="C72" s="89" t="s">
        <v>107</v>
      </c>
      <c r="D72" s="89"/>
      <c r="E72" s="89"/>
      <c r="F72" s="89" t="s">
        <v>108</v>
      </c>
      <c r="G72" s="89"/>
      <c r="H72" s="89"/>
      <c r="I72" s="89" t="s">
        <v>109</v>
      </c>
      <c r="J72" s="89"/>
      <c r="K72" s="89"/>
      <c r="L72" s="89" t="s">
        <v>110</v>
      </c>
      <c r="M72" s="89"/>
      <c r="N72" s="89"/>
      <c r="O72" s="89" t="s">
        <v>111</v>
      </c>
      <c r="P72" s="89"/>
      <c r="Q72" s="89"/>
      <c r="R72" s="89" t="s">
        <v>112</v>
      </c>
      <c r="S72" s="89"/>
      <c r="T72" s="89"/>
      <c r="U72" s="89" t="s">
        <v>113</v>
      </c>
      <c r="V72" s="89"/>
      <c r="W72" s="89"/>
      <c r="X72" s="89" t="s">
        <v>114</v>
      </c>
      <c r="Y72" s="89"/>
      <c r="Z72" s="90"/>
    </row>
    <row r="73" spans="2:26" x14ac:dyDescent="0.25">
      <c r="B73" s="13" t="s">
        <v>128</v>
      </c>
      <c r="C73" s="89">
        <f>C51^2-D51^2-E51^2</f>
        <v>-0.47851603999999998</v>
      </c>
      <c r="D73" s="89"/>
      <c r="E73" s="89"/>
      <c r="F73" s="89">
        <f t="shared" ref="F73:F79" si="41">F51^2-G51^2-H51^2</f>
        <v>-0.17819833000000004</v>
      </c>
      <c r="G73" s="89"/>
      <c r="H73" s="89"/>
      <c r="I73" s="89">
        <f t="shared" ref="I73:I79" si="42">I51^2-J51^2-K51^2</f>
        <v>-0.85981767999999992</v>
      </c>
      <c r="J73" s="89"/>
      <c r="K73" s="89"/>
      <c r="L73" s="89">
        <f t="shared" ref="L73:L79" si="43">L51^2-M51^2-N51^2</f>
        <v>-0.64445750999999996</v>
      </c>
      <c r="M73" s="89"/>
      <c r="N73" s="89"/>
      <c r="O73" s="89">
        <f t="shared" ref="O73:O79" si="44">O51^2-P51^2-Q51^2</f>
        <v>-0.45001135000000003</v>
      </c>
      <c r="P73" s="89"/>
      <c r="Q73" s="89"/>
      <c r="R73" s="89">
        <f t="shared" ref="R73:R79" si="45">R51^2-S51^2-T51^2</f>
        <v>-1.0844903600000002</v>
      </c>
      <c r="S73" s="89"/>
      <c r="T73" s="89"/>
      <c r="U73" s="89">
        <f t="shared" ref="U73:U79" si="46">U51^2-V51^2-W51^2</f>
        <v>-0.90388632999999996</v>
      </c>
      <c r="V73" s="89"/>
      <c r="W73" s="89"/>
      <c r="X73" s="89">
        <f t="shared" ref="X73:X79" si="47">X51^2-Y51^2-Z51^2</f>
        <v>-1.2650087800000001</v>
      </c>
      <c r="Y73" s="89"/>
      <c r="Z73" s="90"/>
    </row>
    <row r="74" spans="2:26" x14ac:dyDescent="0.25">
      <c r="B74" s="13" t="s">
        <v>129</v>
      </c>
      <c r="C74" s="89">
        <f t="shared" ref="C74:C79" si="48">C52^2-D52^2-E52^2</f>
        <v>-0.62128192000000004</v>
      </c>
      <c r="D74" s="89"/>
      <c r="E74" s="89"/>
      <c r="F74" s="89">
        <f t="shared" si="41"/>
        <v>-0.1543656000000001</v>
      </c>
      <c r="G74" s="89"/>
      <c r="H74" s="89"/>
      <c r="I74" s="89">
        <f t="shared" si="42"/>
        <v>-1.2185790399999998</v>
      </c>
      <c r="J74" s="89"/>
      <c r="K74" s="89"/>
      <c r="L74" s="89">
        <f t="shared" si="43"/>
        <v>-0.50273984000000005</v>
      </c>
      <c r="M74" s="89"/>
      <c r="N74" s="89"/>
      <c r="O74" s="89">
        <f t="shared" si="44"/>
        <v>-0.5900093099999999</v>
      </c>
      <c r="P74" s="89"/>
      <c r="Q74" s="89"/>
      <c r="R74" s="89">
        <f t="shared" si="45"/>
        <v>-0.93085929000000001</v>
      </c>
      <c r="S74" s="89"/>
      <c r="T74" s="89"/>
      <c r="U74" s="89">
        <f t="shared" si="46"/>
        <v>-0.50975988999999999</v>
      </c>
      <c r="V74" s="89"/>
      <c r="W74" s="89"/>
      <c r="X74" s="89">
        <f t="shared" si="47"/>
        <v>-1.2815668</v>
      </c>
      <c r="Y74" s="89"/>
      <c r="Z74" s="90"/>
    </row>
    <row r="75" spans="2:26" x14ac:dyDescent="0.25">
      <c r="B75" s="13" t="s">
        <v>130</v>
      </c>
      <c r="C75" s="89">
        <f t="shared" si="48"/>
        <v>-0.57652945</v>
      </c>
      <c r="D75" s="89"/>
      <c r="E75" s="89"/>
      <c r="F75" s="89">
        <f t="shared" si="41"/>
        <v>-0.52051793000000002</v>
      </c>
      <c r="G75" s="89"/>
      <c r="H75" s="89"/>
      <c r="I75" s="89">
        <f t="shared" si="42"/>
        <v>-1.1818717599999999</v>
      </c>
      <c r="J75" s="89"/>
      <c r="K75" s="89"/>
      <c r="L75" s="89">
        <f t="shared" si="43"/>
        <v>-0.81264040000000004</v>
      </c>
      <c r="M75" s="89"/>
      <c r="N75" s="89"/>
      <c r="O75" s="89">
        <f t="shared" si="44"/>
        <v>-0.74941943999999983</v>
      </c>
      <c r="P75" s="89"/>
      <c r="Q75" s="89"/>
      <c r="R75" s="89">
        <f t="shared" si="45"/>
        <v>-0.95135675999999991</v>
      </c>
      <c r="S75" s="89"/>
      <c r="T75" s="89"/>
      <c r="U75" s="89">
        <f t="shared" si="46"/>
        <v>-0.83226124000000001</v>
      </c>
      <c r="V75" s="89"/>
      <c r="W75" s="89"/>
      <c r="X75" s="89">
        <f t="shared" si="47"/>
        <v>-1.25146449</v>
      </c>
      <c r="Y75" s="89"/>
      <c r="Z75" s="90"/>
    </row>
    <row r="76" spans="2:26" x14ac:dyDescent="0.25">
      <c r="B76" s="13" t="s">
        <v>131</v>
      </c>
      <c r="C76" s="89">
        <f t="shared" si="48"/>
        <v>0.21894238999999999</v>
      </c>
      <c r="D76" s="89"/>
      <c r="E76" s="89"/>
      <c r="F76" s="89">
        <f t="shared" si="41"/>
        <v>0.46256767999999998</v>
      </c>
      <c r="G76" s="89"/>
      <c r="H76" s="89"/>
      <c r="I76" s="89">
        <f t="shared" si="42"/>
        <v>-1.2592429599999999</v>
      </c>
      <c r="J76" s="89"/>
      <c r="K76" s="89"/>
      <c r="L76" s="89">
        <f t="shared" si="43"/>
        <v>8.3702360000000003E-2</v>
      </c>
      <c r="M76" s="89"/>
      <c r="N76" s="89"/>
      <c r="O76" s="89">
        <f t="shared" si="44"/>
        <v>-1.1686618200000001</v>
      </c>
      <c r="P76" s="89"/>
      <c r="Q76" s="89"/>
      <c r="R76" s="89">
        <f t="shared" si="45"/>
        <v>-0.53669414000000004</v>
      </c>
      <c r="S76" s="89"/>
      <c r="T76" s="89"/>
      <c r="U76" s="89">
        <f t="shared" si="46"/>
        <v>-0.53905833999999997</v>
      </c>
      <c r="V76" s="89"/>
      <c r="W76" s="89"/>
      <c r="X76" s="89">
        <f t="shared" si="47"/>
        <v>-1.3419949</v>
      </c>
      <c r="Y76" s="89"/>
      <c r="Z76" s="90"/>
    </row>
    <row r="77" spans="2:26" x14ac:dyDescent="0.25">
      <c r="B77" s="13" t="s">
        <v>132</v>
      </c>
      <c r="C77" s="89">
        <f t="shared" si="48"/>
        <v>-0.89545491999999993</v>
      </c>
      <c r="D77" s="89"/>
      <c r="E77" s="89"/>
      <c r="F77" s="89">
        <f t="shared" si="41"/>
        <v>-0.24232338999999992</v>
      </c>
      <c r="G77" s="89"/>
      <c r="H77" s="89"/>
      <c r="I77" s="89">
        <f t="shared" si="42"/>
        <v>-1.2240840400000002</v>
      </c>
      <c r="J77" s="89"/>
      <c r="K77" s="89"/>
      <c r="L77" s="89">
        <f t="shared" si="43"/>
        <v>-1.0344498</v>
      </c>
      <c r="M77" s="89"/>
      <c r="N77" s="89"/>
      <c r="O77" s="89">
        <f t="shared" si="44"/>
        <v>-0.60257520999999992</v>
      </c>
      <c r="P77" s="89"/>
      <c r="Q77" s="89"/>
      <c r="R77" s="89">
        <f t="shared" si="45"/>
        <v>-1.2104680000000001</v>
      </c>
      <c r="S77" s="89"/>
      <c r="T77" s="89"/>
      <c r="U77" s="89">
        <f t="shared" si="46"/>
        <v>-0.67221713999999988</v>
      </c>
      <c r="V77" s="89"/>
      <c r="W77" s="89"/>
      <c r="X77" s="89">
        <f t="shared" si="47"/>
        <v>-1.1643195999999998</v>
      </c>
      <c r="Y77" s="89"/>
      <c r="Z77" s="90"/>
    </row>
    <row r="78" spans="2:26" x14ac:dyDescent="0.25">
      <c r="B78" s="13" t="s">
        <v>133</v>
      </c>
      <c r="C78" s="89">
        <f t="shared" si="48"/>
        <v>-3.781562000000005E-2</v>
      </c>
      <c r="D78" s="89"/>
      <c r="E78" s="89"/>
      <c r="F78" s="89">
        <f t="shared" si="41"/>
        <v>1.5610999999999819E-3</v>
      </c>
      <c r="G78" s="89"/>
      <c r="H78" s="89"/>
      <c r="I78" s="89">
        <f t="shared" si="42"/>
        <v>-1.1824216000000001</v>
      </c>
      <c r="J78" s="89"/>
      <c r="K78" s="89"/>
      <c r="L78" s="89">
        <f t="shared" si="43"/>
        <v>-0.83759907999999994</v>
      </c>
      <c r="M78" s="89"/>
      <c r="N78" s="89"/>
      <c r="O78" s="89">
        <f t="shared" si="44"/>
        <v>-1.1055597700000002</v>
      </c>
      <c r="P78" s="89"/>
      <c r="Q78" s="89"/>
      <c r="R78" s="89">
        <f t="shared" si="45"/>
        <v>-0.66925323999999997</v>
      </c>
      <c r="S78" s="89"/>
      <c r="T78" s="89"/>
      <c r="U78" s="89">
        <f t="shared" si="46"/>
        <v>-0.81209129000000002</v>
      </c>
      <c r="V78" s="89"/>
      <c r="W78" s="89"/>
      <c r="X78" s="89">
        <f t="shared" si="47"/>
        <v>-0.91319049000000008</v>
      </c>
      <c r="Y78" s="89"/>
      <c r="Z78" s="90"/>
    </row>
    <row r="79" spans="2:26" ht="15.75" thickBot="1" x14ac:dyDescent="0.3">
      <c r="B79" s="15" t="s">
        <v>134</v>
      </c>
      <c r="C79" s="102">
        <f t="shared" si="48"/>
        <v>-0.99912428999999991</v>
      </c>
      <c r="D79" s="102"/>
      <c r="E79" s="102"/>
      <c r="F79" s="102">
        <f t="shared" si="41"/>
        <v>-0.72697635999999988</v>
      </c>
      <c r="G79" s="102"/>
      <c r="H79" s="102"/>
      <c r="I79" s="102">
        <f t="shared" si="42"/>
        <v>-0.88665784999999986</v>
      </c>
      <c r="J79" s="102"/>
      <c r="K79" s="102"/>
      <c r="L79" s="102">
        <f t="shared" si="43"/>
        <v>-0.94220909999999991</v>
      </c>
      <c r="M79" s="102"/>
      <c r="N79" s="102"/>
      <c r="O79" s="102">
        <f t="shared" si="44"/>
        <v>-1.14760741</v>
      </c>
      <c r="P79" s="102"/>
      <c r="Q79" s="102"/>
      <c r="R79" s="102">
        <f t="shared" si="45"/>
        <v>-0.98245576000000001</v>
      </c>
      <c r="S79" s="102"/>
      <c r="T79" s="102"/>
      <c r="U79" s="102">
        <f t="shared" si="46"/>
        <v>-0.47681713000000003</v>
      </c>
      <c r="V79" s="102"/>
      <c r="W79" s="102"/>
      <c r="X79" s="102">
        <f t="shared" si="47"/>
        <v>-1.2863516100000001</v>
      </c>
      <c r="Y79" s="102"/>
      <c r="Z79" s="103"/>
    </row>
    <row r="82" spans="2:26" ht="15.75" thickBot="1" x14ac:dyDescent="0.3"/>
    <row r="83" spans="2:26" x14ac:dyDescent="0.25">
      <c r="B83" s="94" t="s">
        <v>145</v>
      </c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3"/>
    </row>
    <row r="84" spans="2:26" x14ac:dyDescent="0.25">
      <c r="B84" s="13"/>
      <c r="C84" s="89" t="s">
        <v>107</v>
      </c>
      <c r="D84" s="89"/>
      <c r="E84" s="89"/>
      <c r="F84" s="89" t="s">
        <v>108</v>
      </c>
      <c r="G84" s="89"/>
      <c r="H84" s="89"/>
      <c r="I84" s="89" t="s">
        <v>109</v>
      </c>
      <c r="J84" s="89"/>
      <c r="K84" s="89"/>
      <c r="L84" s="89" t="s">
        <v>110</v>
      </c>
      <c r="M84" s="89"/>
      <c r="N84" s="89"/>
      <c r="O84" s="89" t="s">
        <v>111</v>
      </c>
      <c r="P84" s="89"/>
      <c r="Q84" s="89"/>
      <c r="R84" s="89" t="s">
        <v>112</v>
      </c>
      <c r="S84" s="89"/>
      <c r="T84" s="89"/>
      <c r="U84" s="89" t="s">
        <v>113</v>
      </c>
      <c r="V84" s="89"/>
      <c r="W84" s="89"/>
      <c r="X84" s="89" t="s">
        <v>114</v>
      </c>
      <c r="Y84" s="89"/>
      <c r="Z84" s="90"/>
    </row>
    <row r="85" spans="2:26" x14ac:dyDescent="0.25">
      <c r="B85" s="13" t="s">
        <v>128</v>
      </c>
      <c r="C85" s="89">
        <v>-0.47851603999999998</v>
      </c>
      <c r="D85" s="89"/>
      <c r="E85" s="89"/>
      <c r="F85" s="89">
        <v>-0.17819833000000004</v>
      </c>
      <c r="G85" s="89"/>
      <c r="H85" s="89"/>
      <c r="I85" s="89">
        <v>-0.85981767999999992</v>
      </c>
      <c r="J85" s="89"/>
      <c r="K85" s="89"/>
      <c r="L85" s="89">
        <v>-0.64445750999999996</v>
      </c>
      <c r="M85" s="89"/>
      <c r="N85" s="89"/>
      <c r="O85" s="89">
        <v>-0.45001135000000003</v>
      </c>
      <c r="P85" s="89"/>
      <c r="Q85" s="89"/>
      <c r="R85" s="89">
        <v>-1.0844903600000002</v>
      </c>
      <c r="S85" s="89"/>
      <c r="T85" s="89"/>
      <c r="U85" s="89">
        <v>-0.90388632999999996</v>
      </c>
      <c r="V85" s="89"/>
      <c r="W85" s="89"/>
      <c r="X85" s="89">
        <v>-1.2650087800000001</v>
      </c>
      <c r="Y85" s="89"/>
      <c r="Z85" s="90"/>
    </row>
    <row r="86" spans="2:26" x14ac:dyDescent="0.25">
      <c r="B86" s="13" t="s">
        <v>129</v>
      </c>
      <c r="C86" s="89">
        <v>-0.62128192000000004</v>
      </c>
      <c r="D86" s="89"/>
      <c r="E86" s="89"/>
      <c r="F86" s="89">
        <v>-0.1543656000000001</v>
      </c>
      <c r="G86" s="89"/>
      <c r="H86" s="89"/>
      <c r="I86" s="89">
        <v>-1.2185790399999998</v>
      </c>
      <c r="J86" s="89"/>
      <c r="K86" s="89"/>
      <c r="L86" s="89">
        <v>-0.50273984000000005</v>
      </c>
      <c r="M86" s="89"/>
      <c r="N86" s="89"/>
      <c r="O86" s="89">
        <v>-0.5900093099999999</v>
      </c>
      <c r="P86" s="89"/>
      <c r="Q86" s="89"/>
      <c r="R86" s="89">
        <v>-0.93085929000000001</v>
      </c>
      <c r="S86" s="89"/>
      <c r="T86" s="89"/>
      <c r="U86" s="89">
        <v>-0.50975988999999999</v>
      </c>
      <c r="V86" s="89"/>
      <c r="W86" s="89"/>
      <c r="X86" s="89">
        <v>-1.2815668</v>
      </c>
      <c r="Y86" s="89"/>
      <c r="Z86" s="90"/>
    </row>
    <row r="87" spans="2:26" x14ac:dyDescent="0.25">
      <c r="B87" s="13" t="s">
        <v>130</v>
      </c>
      <c r="C87" s="89">
        <v>-0.57652945</v>
      </c>
      <c r="D87" s="89"/>
      <c r="E87" s="89"/>
      <c r="F87" s="89">
        <v>-0.52051793000000002</v>
      </c>
      <c r="G87" s="89"/>
      <c r="H87" s="89"/>
      <c r="I87" s="89">
        <v>-1.1818717599999999</v>
      </c>
      <c r="J87" s="89"/>
      <c r="K87" s="89"/>
      <c r="L87" s="89">
        <v>-0.81264040000000004</v>
      </c>
      <c r="M87" s="89"/>
      <c r="N87" s="89"/>
      <c r="O87" s="89">
        <v>-0.74941943999999983</v>
      </c>
      <c r="P87" s="89"/>
      <c r="Q87" s="89"/>
      <c r="R87" s="89">
        <v>-0.95135675999999991</v>
      </c>
      <c r="S87" s="89"/>
      <c r="T87" s="89"/>
      <c r="U87" s="89">
        <v>-0.83226124000000001</v>
      </c>
      <c r="V87" s="89"/>
      <c r="W87" s="89"/>
      <c r="X87" s="89">
        <v>-1.25146449</v>
      </c>
      <c r="Y87" s="89"/>
      <c r="Z87" s="90"/>
    </row>
    <row r="88" spans="2:26" x14ac:dyDescent="0.25">
      <c r="B88" s="13" t="s">
        <v>131</v>
      </c>
      <c r="C88" s="89">
        <v>0.21894238999999999</v>
      </c>
      <c r="D88" s="89"/>
      <c r="E88" s="89"/>
      <c r="F88" s="89">
        <v>0.46256767999999998</v>
      </c>
      <c r="G88" s="89"/>
      <c r="H88" s="89"/>
      <c r="I88" s="89">
        <v>-1.2592429599999999</v>
      </c>
      <c r="J88" s="89"/>
      <c r="K88" s="89"/>
      <c r="L88" s="89">
        <v>8.3702360000000003E-2</v>
      </c>
      <c r="M88" s="89"/>
      <c r="N88" s="89"/>
      <c r="O88" s="89">
        <v>-1.1686618200000001</v>
      </c>
      <c r="P88" s="89"/>
      <c r="Q88" s="89"/>
      <c r="R88" s="89">
        <v>-0.53669414000000004</v>
      </c>
      <c r="S88" s="89"/>
      <c r="T88" s="89"/>
      <c r="U88" s="89">
        <v>-0.53905833999999997</v>
      </c>
      <c r="V88" s="89"/>
      <c r="W88" s="89"/>
      <c r="X88" s="89">
        <v>-1.3419949</v>
      </c>
      <c r="Y88" s="89"/>
      <c r="Z88" s="90"/>
    </row>
    <row r="89" spans="2:26" x14ac:dyDescent="0.25">
      <c r="B89" s="13" t="s">
        <v>132</v>
      </c>
      <c r="C89" s="89">
        <v>-0.89545491999999993</v>
      </c>
      <c r="D89" s="89"/>
      <c r="E89" s="89"/>
      <c r="F89" s="89">
        <v>-0.24232338999999992</v>
      </c>
      <c r="G89" s="89"/>
      <c r="H89" s="89"/>
      <c r="I89" s="89">
        <v>-1.2240840400000002</v>
      </c>
      <c r="J89" s="89"/>
      <c r="K89" s="89"/>
      <c r="L89" s="89">
        <v>-1.0344498</v>
      </c>
      <c r="M89" s="89"/>
      <c r="N89" s="89"/>
      <c r="O89" s="89">
        <v>-0.60257520999999992</v>
      </c>
      <c r="P89" s="89"/>
      <c r="Q89" s="89"/>
      <c r="R89" s="89">
        <v>-1.2104680000000001</v>
      </c>
      <c r="S89" s="89"/>
      <c r="T89" s="89"/>
      <c r="U89" s="89">
        <v>-0.67221713999999988</v>
      </c>
      <c r="V89" s="89"/>
      <c r="W89" s="89"/>
      <c r="X89" s="89">
        <v>-1.1643195999999998</v>
      </c>
      <c r="Y89" s="89"/>
      <c r="Z89" s="90"/>
    </row>
    <row r="90" spans="2:26" x14ac:dyDescent="0.25">
      <c r="B90" s="13" t="s">
        <v>133</v>
      </c>
      <c r="C90" s="89">
        <v>-3.781562000000005E-2</v>
      </c>
      <c r="D90" s="89"/>
      <c r="E90" s="89"/>
      <c r="F90" s="89">
        <v>1.5610999999999819E-3</v>
      </c>
      <c r="G90" s="89"/>
      <c r="H90" s="89"/>
      <c r="I90" s="89">
        <v>-1.1824216000000001</v>
      </c>
      <c r="J90" s="89"/>
      <c r="K90" s="89"/>
      <c r="L90" s="89">
        <v>-0.83759907999999994</v>
      </c>
      <c r="M90" s="89"/>
      <c r="N90" s="89"/>
      <c r="O90" s="89">
        <v>-1.1055597700000002</v>
      </c>
      <c r="P90" s="89"/>
      <c r="Q90" s="89"/>
      <c r="R90" s="89">
        <v>-0.66925323999999997</v>
      </c>
      <c r="S90" s="89"/>
      <c r="T90" s="89"/>
      <c r="U90" s="89">
        <v>-0.81209129000000002</v>
      </c>
      <c r="V90" s="89"/>
      <c r="W90" s="89"/>
      <c r="X90" s="89">
        <v>-0.91319049000000008</v>
      </c>
      <c r="Y90" s="89"/>
      <c r="Z90" s="90"/>
    </row>
    <row r="91" spans="2:26" ht="15.75" thickBot="1" x14ac:dyDescent="0.3">
      <c r="B91" s="15" t="s">
        <v>134</v>
      </c>
      <c r="C91" s="102">
        <v>-0.99912428999999991</v>
      </c>
      <c r="D91" s="102"/>
      <c r="E91" s="102"/>
      <c r="F91" s="102">
        <v>-0.72697635999999988</v>
      </c>
      <c r="G91" s="102"/>
      <c r="H91" s="102"/>
      <c r="I91" s="102">
        <v>-0.88665784999999986</v>
      </c>
      <c r="J91" s="102"/>
      <c r="K91" s="102"/>
      <c r="L91" s="102">
        <v>-0.94220909999999991</v>
      </c>
      <c r="M91" s="102"/>
      <c r="N91" s="102"/>
      <c r="O91" s="102">
        <v>-1.14760741</v>
      </c>
      <c r="P91" s="102"/>
      <c r="Q91" s="102"/>
      <c r="R91" s="102">
        <v>-0.98245576000000001</v>
      </c>
      <c r="S91" s="102"/>
      <c r="T91" s="102"/>
      <c r="U91" s="102">
        <v>-0.47681713000000003</v>
      </c>
      <c r="V91" s="102"/>
      <c r="W91" s="102"/>
      <c r="X91" s="102">
        <v>-1.2863516100000001</v>
      </c>
      <c r="Y91" s="102"/>
      <c r="Z91" s="103"/>
    </row>
    <row r="93" spans="2:26" ht="15.75" thickBot="1" x14ac:dyDescent="0.3"/>
    <row r="94" spans="2:26" x14ac:dyDescent="0.25">
      <c r="B94" s="94" t="s">
        <v>146</v>
      </c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3"/>
    </row>
    <row r="95" spans="2:26" x14ac:dyDescent="0.25">
      <c r="B95" s="13"/>
      <c r="C95" s="89" t="s">
        <v>107</v>
      </c>
      <c r="D95" s="89"/>
      <c r="E95" s="89"/>
      <c r="F95" s="89" t="s">
        <v>108</v>
      </c>
      <c r="G95" s="89"/>
      <c r="H95" s="89"/>
      <c r="I95" s="89" t="s">
        <v>109</v>
      </c>
      <c r="J95" s="89"/>
      <c r="K95" s="89"/>
      <c r="L95" s="89" t="s">
        <v>110</v>
      </c>
      <c r="M95" s="89"/>
      <c r="N95" s="89"/>
      <c r="O95" s="89" t="s">
        <v>111</v>
      </c>
      <c r="P95" s="89"/>
      <c r="Q95" s="89"/>
      <c r="R95" s="89" t="s">
        <v>112</v>
      </c>
      <c r="S95" s="89"/>
      <c r="T95" s="89"/>
      <c r="U95" s="89" t="s">
        <v>113</v>
      </c>
      <c r="V95" s="89"/>
      <c r="W95" s="89"/>
      <c r="X95" s="89" t="s">
        <v>114</v>
      </c>
      <c r="Y95" s="89"/>
      <c r="Z95" s="90"/>
    </row>
    <row r="96" spans="2:26" x14ac:dyDescent="0.25">
      <c r="B96" s="13" t="s">
        <v>128</v>
      </c>
      <c r="C96" s="89">
        <f>ROUND(C85,4)</f>
        <v>-0.47849999999999998</v>
      </c>
      <c r="D96" s="89"/>
      <c r="E96" s="89"/>
      <c r="F96" s="89">
        <f t="shared" ref="F96:X102" si="49">ROUND(F85,4)</f>
        <v>-0.1782</v>
      </c>
      <c r="G96" s="89"/>
      <c r="H96" s="89"/>
      <c r="I96" s="89">
        <f t="shared" ref="I96" si="50">ROUND(I85,4)</f>
        <v>-0.85980000000000001</v>
      </c>
      <c r="J96" s="89"/>
      <c r="K96" s="89"/>
      <c r="L96" s="89">
        <f t="shared" ref="L96" si="51">ROUND(L85,4)</f>
        <v>-0.64449999999999996</v>
      </c>
      <c r="M96" s="89"/>
      <c r="N96" s="89"/>
      <c r="O96" s="89">
        <f t="shared" ref="O96" si="52">ROUND(O85,4)</f>
        <v>-0.45</v>
      </c>
      <c r="P96" s="89"/>
      <c r="Q96" s="89"/>
      <c r="R96" s="89">
        <f t="shared" ref="R96" si="53">ROUND(R85,4)</f>
        <v>-1.0845</v>
      </c>
      <c r="S96" s="89"/>
      <c r="T96" s="89"/>
      <c r="U96" s="89">
        <f t="shared" ref="U96" si="54">ROUND(U85,4)</f>
        <v>-0.90390000000000004</v>
      </c>
      <c r="V96" s="89"/>
      <c r="W96" s="89"/>
      <c r="X96" s="89">
        <f t="shared" ref="X96" si="55">ROUND(X85,4)</f>
        <v>-1.2649999999999999</v>
      </c>
      <c r="Y96" s="89"/>
      <c r="Z96" s="90"/>
    </row>
    <row r="97" spans="2:26" x14ac:dyDescent="0.25">
      <c r="B97" s="13" t="s">
        <v>129</v>
      </c>
      <c r="C97" s="89">
        <f t="shared" ref="C97:C102" si="56">ROUND(C86,4)</f>
        <v>-0.62129999999999996</v>
      </c>
      <c r="D97" s="89"/>
      <c r="E97" s="89"/>
      <c r="F97" s="89">
        <f t="shared" si="49"/>
        <v>-0.15440000000000001</v>
      </c>
      <c r="G97" s="89"/>
      <c r="H97" s="89"/>
      <c r="I97" s="89">
        <f t="shared" si="49"/>
        <v>-1.2185999999999999</v>
      </c>
      <c r="J97" s="89"/>
      <c r="K97" s="89"/>
      <c r="L97" s="89">
        <f t="shared" si="49"/>
        <v>-0.50270000000000004</v>
      </c>
      <c r="M97" s="89"/>
      <c r="N97" s="89"/>
      <c r="O97" s="89">
        <f t="shared" si="49"/>
        <v>-0.59</v>
      </c>
      <c r="P97" s="89"/>
      <c r="Q97" s="89"/>
      <c r="R97" s="89">
        <f t="shared" si="49"/>
        <v>-0.93089999999999995</v>
      </c>
      <c r="S97" s="89"/>
      <c r="T97" s="89"/>
      <c r="U97" s="89">
        <f t="shared" si="49"/>
        <v>-0.50980000000000003</v>
      </c>
      <c r="V97" s="89"/>
      <c r="W97" s="89"/>
      <c r="X97" s="89">
        <f t="shared" si="49"/>
        <v>-1.2816000000000001</v>
      </c>
      <c r="Y97" s="89"/>
      <c r="Z97" s="90"/>
    </row>
    <row r="98" spans="2:26" x14ac:dyDescent="0.25">
      <c r="B98" s="13" t="s">
        <v>130</v>
      </c>
      <c r="C98" s="89">
        <f t="shared" si="56"/>
        <v>-0.57650000000000001</v>
      </c>
      <c r="D98" s="89"/>
      <c r="E98" s="89"/>
      <c r="F98" s="89">
        <f t="shared" si="49"/>
        <v>-0.52049999999999996</v>
      </c>
      <c r="G98" s="89"/>
      <c r="H98" s="89"/>
      <c r="I98" s="89">
        <f t="shared" si="49"/>
        <v>-1.1819</v>
      </c>
      <c r="J98" s="89"/>
      <c r="K98" s="89"/>
      <c r="L98" s="89">
        <f t="shared" si="49"/>
        <v>-0.81259999999999999</v>
      </c>
      <c r="M98" s="89"/>
      <c r="N98" s="89"/>
      <c r="O98" s="89">
        <f t="shared" si="49"/>
        <v>-0.74939999999999996</v>
      </c>
      <c r="P98" s="89"/>
      <c r="Q98" s="89"/>
      <c r="R98" s="89">
        <f t="shared" si="49"/>
        <v>-0.95140000000000002</v>
      </c>
      <c r="S98" s="89"/>
      <c r="T98" s="89"/>
      <c r="U98" s="89">
        <f t="shared" si="49"/>
        <v>-0.83230000000000004</v>
      </c>
      <c r="V98" s="89"/>
      <c r="W98" s="89"/>
      <c r="X98" s="89">
        <f t="shared" si="49"/>
        <v>-1.2515000000000001</v>
      </c>
      <c r="Y98" s="89"/>
      <c r="Z98" s="90"/>
    </row>
    <row r="99" spans="2:26" x14ac:dyDescent="0.25">
      <c r="B99" s="13" t="s">
        <v>131</v>
      </c>
      <c r="C99" s="89">
        <f t="shared" si="56"/>
        <v>0.21890000000000001</v>
      </c>
      <c r="D99" s="89"/>
      <c r="E99" s="89"/>
      <c r="F99" s="89">
        <f t="shared" si="49"/>
        <v>0.46260000000000001</v>
      </c>
      <c r="G99" s="89"/>
      <c r="H99" s="89"/>
      <c r="I99" s="89">
        <f t="shared" si="49"/>
        <v>-1.2592000000000001</v>
      </c>
      <c r="J99" s="89"/>
      <c r="K99" s="89"/>
      <c r="L99" s="89">
        <f t="shared" si="49"/>
        <v>8.3699999999999997E-2</v>
      </c>
      <c r="M99" s="89"/>
      <c r="N99" s="89"/>
      <c r="O99" s="89">
        <f t="shared" si="49"/>
        <v>-1.1687000000000001</v>
      </c>
      <c r="P99" s="89"/>
      <c r="Q99" s="89"/>
      <c r="R99" s="89">
        <f t="shared" si="49"/>
        <v>-0.53669999999999995</v>
      </c>
      <c r="S99" s="89"/>
      <c r="T99" s="89"/>
      <c r="U99" s="89">
        <f t="shared" si="49"/>
        <v>-0.53910000000000002</v>
      </c>
      <c r="V99" s="89"/>
      <c r="W99" s="89"/>
      <c r="X99" s="89">
        <f t="shared" si="49"/>
        <v>-1.3420000000000001</v>
      </c>
      <c r="Y99" s="89"/>
      <c r="Z99" s="90"/>
    </row>
    <row r="100" spans="2:26" x14ac:dyDescent="0.25">
      <c r="B100" s="13" t="s">
        <v>132</v>
      </c>
      <c r="C100" s="89">
        <f t="shared" si="56"/>
        <v>-0.89549999999999996</v>
      </c>
      <c r="D100" s="89"/>
      <c r="E100" s="89"/>
      <c r="F100" s="89">
        <f t="shared" si="49"/>
        <v>-0.24229999999999999</v>
      </c>
      <c r="G100" s="89"/>
      <c r="H100" s="89"/>
      <c r="I100" s="89">
        <f t="shared" si="49"/>
        <v>-1.2241</v>
      </c>
      <c r="J100" s="89"/>
      <c r="K100" s="89"/>
      <c r="L100" s="89">
        <f t="shared" si="49"/>
        <v>-1.0344</v>
      </c>
      <c r="M100" s="89"/>
      <c r="N100" s="89"/>
      <c r="O100" s="89">
        <f t="shared" si="49"/>
        <v>-0.60260000000000002</v>
      </c>
      <c r="P100" s="89"/>
      <c r="Q100" s="89"/>
      <c r="R100" s="89">
        <f t="shared" si="49"/>
        <v>-1.2104999999999999</v>
      </c>
      <c r="S100" s="89"/>
      <c r="T100" s="89"/>
      <c r="U100" s="89">
        <f t="shared" si="49"/>
        <v>-0.67220000000000002</v>
      </c>
      <c r="V100" s="89"/>
      <c r="W100" s="89"/>
      <c r="X100" s="89">
        <f t="shared" si="49"/>
        <v>-1.1642999999999999</v>
      </c>
      <c r="Y100" s="89"/>
      <c r="Z100" s="90"/>
    </row>
    <row r="101" spans="2:26" x14ac:dyDescent="0.25">
      <c r="B101" s="13" t="s">
        <v>133</v>
      </c>
      <c r="C101" s="89">
        <f t="shared" si="56"/>
        <v>-3.78E-2</v>
      </c>
      <c r="D101" s="89"/>
      <c r="E101" s="89"/>
      <c r="F101" s="89">
        <f t="shared" si="49"/>
        <v>1.6000000000000001E-3</v>
      </c>
      <c r="G101" s="89"/>
      <c r="H101" s="89"/>
      <c r="I101" s="89">
        <f t="shared" si="49"/>
        <v>-1.1823999999999999</v>
      </c>
      <c r="J101" s="89"/>
      <c r="K101" s="89"/>
      <c r="L101" s="89">
        <f t="shared" si="49"/>
        <v>-0.83760000000000001</v>
      </c>
      <c r="M101" s="89"/>
      <c r="N101" s="89"/>
      <c r="O101" s="89">
        <f t="shared" si="49"/>
        <v>-1.1055999999999999</v>
      </c>
      <c r="P101" s="89"/>
      <c r="Q101" s="89"/>
      <c r="R101" s="89">
        <f t="shared" si="49"/>
        <v>-0.66930000000000001</v>
      </c>
      <c r="S101" s="89"/>
      <c r="T101" s="89"/>
      <c r="U101" s="89">
        <f t="shared" si="49"/>
        <v>-0.81210000000000004</v>
      </c>
      <c r="V101" s="89"/>
      <c r="W101" s="89"/>
      <c r="X101" s="89">
        <f t="shared" si="49"/>
        <v>-0.91320000000000001</v>
      </c>
      <c r="Y101" s="89"/>
      <c r="Z101" s="90"/>
    </row>
    <row r="102" spans="2:26" ht="15.75" thickBot="1" x14ac:dyDescent="0.3">
      <c r="B102" s="15" t="s">
        <v>134</v>
      </c>
      <c r="C102" s="102">
        <f t="shared" si="56"/>
        <v>-0.99909999999999999</v>
      </c>
      <c r="D102" s="102"/>
      <c r="E102" s="102"/>
      <c r="F102" s="102">
        <f t="shared" si="49"/>
        <v>-0.72699999999999998</v>
      </c>
      <c r="G102" s="102"/>
      <c r="H102" s="102"/>
      <c r="I102" s="102">
        <f t="shared" si="49"/>
        <v>-0.88670000000000004</v>
      </c>
      <c r="J102" s="102"/>
      <c r="K102" s="102"/>
      <c r="L102" s="102">
        <f t="shared" si="49"/>
        <v>-0.94220000000000004</v>
      </c>
      <c r="M102" s="102"/>
      <c r="N102" s="102"/>
      <c r="O102" s="102">
        <f t="shared" si="49"/>
        <v>-1.1476</v>
      </c>
      <c r="P102" s="102"/>
      <c r="Q102" s="102"/>
      <c r="R102" s="102">
        <f t="shared" si="49"/>
        <v>-0.98250000000000004</v>
      </c>
      <c r="S102" s="102"/>
      <c r="T102" s="102"/>
      <c r="U102" s="102">
        <f t="shared" si="49"/>
        <v>-0.4768</v>
      </c>
      <c r="V102" s="102"/>
      <c r="W102" s="102"/>
      <c r="X102" s="102">
        <f t="shared" si="49"/>
        <v>-1.2864</v>
      </c>
      <c r="Y102" s="102"/>
      <c r="Z102" s="103"/>
    </row>
    <row r="106" spans="2:26" ht="15.75" thickBot="1" x14ac:dyDescent="0.3"/>
    <row r="107" spans="2:26" x14ac:dyDescent="0.25">
      <c r="B107" s="94" t="s">
        <v>149</v>
      </c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3"/>
    </row>
    <row r="108" spans="2:26" x14ac:dyDescent="0.25">
      <c r="B108" s="13"/>
      <c r="C108" s="89" t="s">
        <v>107</v>
      </c>
      <c r="D108" s="89"/>
      <c r="E108" s="89"/>
      <c r="F108" s="89" t="s">
        <v>108</v>
      </c>
      <c r="G108" s="89"/>
      <c r="H108" s="89"/>
      <c r="I108" s="89" t="s">
        <v>109</v>
      </c>
      <c r="J108" s="89"/>
      <c r="K108" s="89"/>
      <c r="L108" s="89" t="s">
        <v>110</v>
      </c>
      <c r="M108" s="89"/>
      <c r="N108" s="89"/>
      <c r="O108" s="89" t="s">
        <v>111</v>
      </c>
      <c r="P108" s="89"/>
      <c r="Q108" s="89"/>
      <c r="R108" s="89" t="s">
        <v>112</v>
      </c>
      <c r="S108" s="89"/>
      <c r="T108" s="89"/>
      <c r="U108" s="89" t="s">
        <v>113</v>
      </c>
      <c r="V108" s="89"/>
      <c r="W108" s="89"/>
      <c r="X108" s="89" t="s">
        <v>114</v>
      </c>
      <c r="Y108" s="89"/>
      <c r="Z108" s="90"/>
    </row>
    <row r="109" spans="2:26" x14ac:dyDescent="0.25">
      <c r="B109" s="13" t="s">
        <v>128</v>
      </c>
      <c r="C109" s="89">
        <v>-0.47849999999999998</v>
      </c>
      <c r="D109" s="89"/>
      <c r="E109" s="89"/>
      <c r="F109" s="89">
        <v>-0.1782</v>
      </c>
      <c r="G109" s="89"/>
      <c r="H109" s="89"/>
      <c r="I109" s="89">
        <v>-0.85980000000000001</v>
      </c>
      <c r="J109" s="89"/>
      <c r="K109" s="89"/>
      <c r="L109" s="89">
        <v>-0.64449999999999996</v>
      </c>
      <c r="M109" s="89"/>
      <c r="N109" s="89"/>
      <c r="O109" s="89">
        <v>-0.45</v>
      </c>
      <c r="P109" s="89"/>
      <c r="Q109" s="89"/>
      <c r="R109" s="89">
        <v>-1.0845</v>
      </c>
      <c r="S109" s="89"/>
      <c r="T109" s="89"/>
      <c r="U109" s="89">
        <v>-0.90390000000000004</v>
      </c>
      <c r="V109" s="89"/>
      <c r="W109" s="89"/>
      <c r="X109" s="89">
        <v>-1.2649999999999999</v>
      </c>
      <c r="Y109" s="89"/>
      <c r="Z109" s="90"/>
    </row>
    <row r="110" spans="2:26" x14ac:dyDescent="0.25">
      <c r="B110" s="13" t="s">
        <v>129</v>
      </c>
      <c r="C110" s="89">
        <v>-0.62129999999999996</v>
      </c>
      <c r="D110" s="89"/>
      <c r="E110" s="89"/>
      <c r="F110" s="89">
        <v>-0.15440000000000001</v>
      </c>
      <c r="G110" s="89"/>
      <c r="H110" s="89"/>
      <c r="I110" s="89">
        <v>-1.2185999999999999</v>
      </c>
      <c r="J110" s="89"/>
      <c r="K110" s="89"/>
      <c r="L110" s="89">
        <v>-0.50270000000000004</v>
      </c>
      <c r="M110" s="89"/>
      <c r="N110" s="89"/>
      <c r="O110" s="89">
        <v>-0.59</v>
      </c>
      <c r="P110" s="89"/>
      <c r="Q110" s="89"/>
      <c r="R110" s="89">
        <v>-0.93089999999999995</v>
      </c>
      <c r="S110" s="89"/>
      <c r="T110" s="89"/>
      <c r="U110" s="89">
        <v>-0.50980000000000003</v>
      </c>
      <c r="V110" s="89"/>
      <c r="W110" s="89"/>
      <c r="X110" s="89">
        <v>-1.2816000000000001</v>
      </c>
      <c r="Y110" s="89"/>
      <c r="Z110" s="90"/>
    </row>
    <row r="111" spans="2:26" x14ac:dyDescent="0.25">
      <c r="B111" s="13" t="s">
        <v>130</v>
      </c>
      <c r="C111" s="89">
        <v>-0.57650000000000001</v>
      </c>
      <c r="D111" s="89"/>
      <c r="E111" s="89"/>
      <c r="F111" s="89">
        <v>-0.52049999999999996</v>
      </c>
      <c r="G111" s="89"/>
      <c r="H111" s="89"/>
      <c r="I111" s="89">
        <v>-1.1819</v>
      </c>
      <c r="J111" s="89"/>
      <c r="K111" s="89"/>
      <c r="L111" s="89">
        <v>-0.81259999999999999</v>
      </c>
      <c r="M111" s="89"/>
      <c r="N111" s="89"/>
      <c r="O111" s="89">
        <v>-0.74939999999999996</v>
      </c>
      <c r="P111" s="89"/>
      <c r="Q111" s="89"/>
      <c r="R111" s="89">
        <v>-0.95140000000000002</v>
      </c>
      <c r="S111" s="89"/>
      <c r="T111" s="89"/>
      <c r="U111" s="89">
        <v>-0.83230000000000004</v>
      </c>
      <c r="V111" s="89"/>
      <c r="W111" s="89"/>
      <c r="X111" s="89">
        <v>-1.2515000000000001</v>
      </c>
      <c r="Y111" s="89"/>
      <c r="Z111" s="90"/>
    </row>
    <row r="112" spans="2:26" x14ac:dyDescent="0.25">
      <c r="B112" s="13" t="s">
        <v>131</v>
      </c>
      <c r="C112" s="89">
        <v>0.21890000000000001</v>
      </c>
      <c r="D112" s="89"/>
      <c r="E112" s="89"/>
      <c r="F112" s="89">
        <v>0.46260000000000001</v>
      </c>
      <c r="G112" s="89"/>
      <c r="H112" s="89"/>
      <c r="I112" s="89">
        <v>-1.2592000000000001</v>
      </c>
      <c r="J112" s="89"/>
      <c r="K112" s="89"/>
      <c r="L112" s="89">
        <v>8.3699999999999997E-2</v>
      </c>
      <c r="M112" s="89"/>
      <c r="N112" s="89"/>
      <c r="O112" s="89">
        <v>-1.1687000000000001</v>
      </c>
      <c r="P112" s="89"/>
      <c r="Q112" s="89"/>
      <c r="R112" s="89">
        <v>-0.53669999999999995</v>
      </c>
      <c r="S112" s="89"/>
      <c r="T112" s="89"/>
      <c r="U112" s="89">
        <v>-0.53910000000000002</v>
      </c>
      <c r="V112" s="89"/>
      <c r="W112" s="89"/>
      <c r="X112" s="89">
        <v>-1.3420000000000001</v>
      </c>
      <c r="Y112" s="89"/>
      <c r="Z112" s="90"/>
    </row>
    <row r="113" spans="2:26" x14ac:dyDescent="0.25">
      <c r="B113" s="13" t="s">
        <v>132</v>
      </c>
      <c r="C113" s="89">
        <v>-0.89549999999999996</v>
      </c>
      <c r="D113" s="89"/>
      <c r="E113" s="89"/>
      <c r="F113" s="89">
        <v>-0.24229999999999999</v>
      </c>
      <c r="G113" s="89"/>
      <c r="H113" s="89"/>
      <c r="I113" s="89">
        <v>-1.2241</v>
      </c>
      <c r="J113" s="89"/>
      <c r="K113" s="89"/>
      <c r="L113" s="89">
        <v>-1.0344</v>
      </c>
      <c r="M113" s="89"/>
      <c r="N113" s="89"/>
      <c r="O113" s="89">
        <v>-0.60260000000000002</v>
      </c>
      <c r="P113" s="89"/>
      <c r="Q113" s="89"/>
      <c r="R113" s="89">
        <v>-1.2104999999999999</v>
      </c>
      <c r="S113" s="89"/>
      <c r="T113" s="89"/>
      <c r="U113" s="89">
        <v>-0.67220000000000002</v>
      </c>
      <c r="V113" s="89"/>
      <c r="W113" s="89"/>
      <c r="X113" s="89">
        <v>-1.1642999999999999</v>
      </c>
      <c r="Y113" s="89"/>
      <c r="Z113" s="90"/>
    </row>
    <row r="114" spans="2:26" x14ac:dyDescent="0.25">
      <c r="B114" s="13" t="s">
        <v>133</v>
      </c>
      <c r="C114" s="89">
        <v>-3.78E-2</v>
      </c>
      <c r="D114" s="89"/>
      <c r="E114" s="89"/>
      <c r="F114" s="89">
        <v>1.6000000000000001E-3</v>
      </c>
      <c r="G114" s="89"/>
      <c r="H114" s="89"/>
      <c r="I114" s="89">
        <v>-1.1823999999999999</v>
      </c>
      <c r="J114" s="89"/>
      <c r="K114" s="89"/>
      <c r="L114" s="89">
        <v>-0.83760000000000001</v>
      </c>
      <c r="M114" s="89"/>
      <c r="N114" s="89"/>
      <c r="O114" s="89">
        <v>-1.1055999999999999</v>
      </c>
      <c r="P114" s="89"/>
      <c r="Q114" s="89"/>
      <c r="R114" s="89">
        <v>-0.66930000000000001</v>
      </c>
      <c r="S114" s="89"/>
      <c r="T114" s="89"/>
      <c r="U114" s="89">
        <v>-0.81210000000000004</v>
      </c>
      <c r="V114" s="89"/>
      <c r="W114" s="89"/>
      <c r="X114" s="89">
        <v>-0.91320000000000001</v>
      </c>
      <c r="Y114" s="89"/>
      <c r="Z114" s="90"/>
    </row>
    <row r="115" spans="2:26" ht="15.75" thickBot="1" x14ac:dyDescent="0.3">
      <c r="B115" s="15" t="s">
        <v>134</v>
      </c>
      <c r="C115" s="102">
        <v>-0.99909999999999999</v>
      </c>
      <c r="D115" s="102"/>
      <c r="E115" s="102"/>
      <c r="F115" s="102">
        <v>-0.72699999999999998</v>
      </c>
      <c r="G115" s="102"/>
      <c r="H115" s="102"/>
      <c r="I115" s="102">
        <v>-0.88670000000000004</v>
      </c>
      <c r="J115" s="102"/>
      <c r="K115" s="102"/>
      <c r="L115" s="102">
        <v>-0.94220000000000004</v>
      </c>
      <c r="M115" s="102"/>
      <c r="N115" s="102"/>
      <c r="O115" s="102">
        <v>-1.1476</v>
      </c>
      <c r="P115" s="102"/>
      <c r="Q115" s="102"/>
      <c r="R115" s="102">
        <v>-0.98250000000000004</v>
      </c>
      <c r="S115" s="102"/>
      <c r="T115" s="102"/>
      <c r="U115" s="102">
        <v>-0.4768</v>
      </c>
      <c r="V115" s="102"/>
      <c r="W115" s="102"/>
      <c r="X115" s="102">
        <v>-1.2864</v>
      </c>
      <c r="Y115" s="102"/>
      <c r="Z115" s="103"/>
    </row>
  </sheetData>
  <mergeCells count="361">
    <mergeCell ref="U102:W102"/>
    <mergeCell ref="X102:Z102"/>
    <mergeCell ref="C102:E102"/>
    <mergeCell ref="F102:H102"/>
    <mergeCell ref="I102:K102"/>
    <mergeCell ref="L102:N102"/>
    <mergeCell ref="O102:Q102"/>
    <mergeCell ref="R102:T102"/>
    <mergeCell ref="U100:W100"/>
    <mergeCell ref="X100:Z100"/>
    <mergeCell ref="C101:E101"/>
    <mergeCell ref="F101:H101"/>
    <mergeCell ref="I101:K101"/>
    <mergeCell ref="L101:N101"/>
    <mergeCell ref="O101:Q101"/>
    <mergeCell ref="R101:T101"/>
    <mergeCell ref="U101:W101"/>
    <mergeCell ref="X101:Z101"/>
    <mergeCell ref="C100:E100"/>
    <mergeCell ref="F100:H100"/>
    <mergeCell ref="I100:K100"/>
    <mergeCell ref="L100:N100"/>
    <mergeCell ref="O100:Q100"/>
    <mergeCell ref="R100:T100"/>
    <mergeCell ref="U98:W98"/>
    <mergeCell ref="X98:Z98"/>
    <mergeCell ref="C99:E99"/>
    <mergeCell ref="F99:H99"/>
    <mergeCell ref="I99:K99"/>
    <mergeCell ref="L99:N99"/>
    <mergeCell ref="O99:Q99"/>
    <mergeCell ref="R99:T99"/>
    <mergeCell ref="U99:W99"/>
    <mergeCell ref="X99:Z99"/>
    <mergeCell ref="C98:E98"/>
    <mergeCell ref="F98:H98"/>
    <mergeCell ref="I98:K98"/>
    <mergeCell ref="L98:N98"/>
    <mergeCell ref="O98:Q98"/>
    <mergeCell ref="R98:T98"/>
    <mergeCell ref="U96:W96"/>
    <mergeCell ref="X96:Z96"/>
    <mergeCell ref="C97:E97"/>
    <mergeCell ref="F97:H97"/>
    <mergeCell ref="I97:K97"/>
    <mergeCell ref="L97:N97"/>
    <mergeCell ref="O97:Q97"/>
    <mergeCell ref="R97:T97"/>
    <mergeCell ref="U97:W97"/>
    <mergeCell ref="X97:Z97"/>
    <mergeCell ref="C96:E96"/>
    <mergeCell ref="F96:H96"/>
    <mergeCell ref="I96:K96"/>
    <mergeCell ref="L96:N96"/>
    <mergeCell ref="O96:Q96"/>
    <mergeCell ref="R96:T96"/>
    <mergeCell ref="B83:Z83"/>
    <mergeCell ref="B94:Z94"/>
    <mergeCell ref="C95:E95"/>
    <mergeCell ref="F95:H95"/>
    <mergeCell ref="I95:K95"/>
    <mergeCell ref="L95:N95"/>
    <mergeCell ref="O95:Q95"/>
    <mergeCell ref="R95:T95"/>
    <mergeCell ref="U95:W95"/>
    <mergeCell ref="X95:Z95"/>
    <mergeCell ref="U90:W90"/>
    <mergeCell ref="X90:Z90"/>
    <mergeCell ref="C91:E91"/>
    <mergeCell ref="F91:H91"/>
    <mergeCell ref="I91:K91"/>
    <mergeCell ref="L91:N91"/>
    <mergeCell ref="O91:Q91"/>
    <mergeCell ref="R91:T91"/>
    <mergeCell ref="U91:W91"/>
    <mergeCell ref="X91:Z91"/>
    <mergeCell ref="C90:E90"/>
    <mergeCell ref="F90:H90"/>
    <mergeCell ref="I90:K90"/>
    <mergeCell ref="L90:N90"/>
    <mergeCell ref="O90:Q90"/>
    <mergeCell ref="R90:T90"/>
    <mergeCell ref="U88:W88"/>
    <mergeCell ref="X88:Z88"/>
    <mergeCell ref="C89:E89"/>
    <mergeCell ref="F89:H89"/>
    <mergeCell ref="I89:K89"/>
    <mergeCell ref="L89:N89"/>
    <mergeCell ref="O89:Q89"/>
    <mergeCell ref="R89:T89"/>
    <mergeCell ref="U89:W89"/>
    <mergeCell ref="X89:Z89"/>
    <mergeCell ref="C88:E88"/>
    <mergeCell ref="F88:H88"/>
    <mergeCell ref="I88:K88"/>
    <mergeCell ref="L88:N88"/>
    <mergeCell ref="O88:Q88"/>
    <mergeCell ref="R88:T88"/>
    <mergeCell ref="U86:W86"/>
    <mergeCell ref="X86:Z86"/>
    <mergeCell ref="C87:E87"/>
    <mergeCell ref="F87:H87"/>
    <mergeCell ref="I87:K87"/>
    <mergeCell ref="L87:N87"/>
    <mergeCell ref="O87:Q87"/>
    <mergeCell ref="R87:T87"/>
    <mergeCell ref="U87:W87"/>
    <mergeCell ref="X87:Z87"/>
    <mergeCell ref="C86:E86"/>
    <mergeCell ref="F86:H86"/>
    <mergeCell ref="I86:K86"/>
    <mergeCell ref="L86:N86"/>
    <mergeCell ref="O86:Q86"/>
    <mergeCell ref="R86:T86"/>
    <mergeCell ref="U84:W84"/>
    <mergeCell ref="X84:Z84"/>
    <mergeCell ref="C85:E85"/>
    <mergeCell ref="F85:H85"/>
    <mergeCell ref="I85:K85"/>
    <mergeCell ref="L85:N85"/>
    <mergeCell ref="O85:Q85"/>
    <mergeCell ref="R85:T85"/>
    <mergeCell ref="U85:W85"/>
    <mergeCell ref="X85:Z85"/>
    <mergeCell ref="C84:E84"/>
    <mergeCell ref="F84:H84"/>
    <mergeCell ref="I84:K84"/>
    <mergeCell ref="L84:N84"/>
    <mergeCell ref="O84:Q84"/>
    <mergeCell ref="R84:T84"/>
    <mergeCell ref="U67:W67"/>
    <mergeCell ref="X67:Z67"/>
    <mergeCell ref="C68:E68"/>
    <mergeCell ref="F68:H68"/>
    <mergeCell ref="I68:K68"/>
    <mergeCell ref="L68:N68"/>
    <mergeCell ref="O68:Q68"/>
    <mergeCell ref="R68:T68"/>
    <mergeCell ref="U68:W68"/>
    <mergeCell ref="X68:Z68"/>
    <mergeCell ref="C67:E67"/>
    <mergeCell ref="F67:H67"/>
    <mergeCell ref="I67:K67"/>
    <mergeCell ref="L67:N67"/>
    <mergeCell ref="O67:Q67"/>
    <mergeCell ref="R67:T67"/>
    <mergeCell ref="U65:W65"/>
    <mergeCell ref="X65:Z65"/>
    <mergeCell ref="C66:E66"/>
    <mergeCell ref="F66:H66"/>
    <mergeCell ref="I66:K66"/>
    <mergeCell ref="L66:N66"/>
    <mergeCell ref="O66:Q66"/>
    <mergeCell ref="R66:T66"/>
    <mergeCell ref="U66:W66"/>
    <mergeCell ref="X66:Z66"/>
    <mergeCell ref="C65:E65"/>
    <mergeCell ref="F65:H65"/>
    <mergeCell ref="I65:K65"/>
    <mergeCell ref="L65:N65"/>
    <mergeCell ref="O65:Q65"/>
    <mergeCell ref="R65:T65"/>
    <mergeCell ref="U63:W63"/>
    <mergeCell ref="X63:Z63"/>
    <mergeCell ref="C64:E64"/>
    <mergeCell ref="F64:H64"/>
    <mergeCell ref="I64:K64"/>
    <mergeCell ref="L64:N64"/>
    <mergeCell ref="O64:Q64"/>
    <mergeCell ref="R64:T64"/>
    <mergeCell ref="U64:W64"/>
    <mergeCell ref="X64:Z64"/>
    <mergeCell ref="C63:E63"/>
    <mergeCell ref="F63:H63"/>
    <mergeCell ref="I63:K63"/>
    <mergeCell ref="L63:N63"/>
    <mergeCell ref="O63:Q63"/>
    <mergeCell ref="R63:T63"/>
    <mergeCell ref="B60:Z60"/>
    <mergeCell ref="C62:E62"/>
    <mergeCell ref="F62:H62"/>
    <mergeCell ref="I62:K62"/>
    <mergeCell ref="L62:N62"/>
    <mergeCell ref="O62:Q62"/>
    <mergeCell ref="R62:T62"/>
    <mergeCell ref="U62:W62"/>
    <mergeCell ref="X62:Z62"/>
    <mergeCell ref="U78:W78"/>
    <mergeCell ref="X78:Z78"/>
    <mergeCell ref="C79:E79"/>
    <mergeCell ref="F79:H79"/>
    <mergeCell ref="I79:K79"/>
    <mergeCell ref="L79:N79"/>
    <mergeCell ref="O79:Q79"/>
    <mergeCell ref="R79:T79"/>
    <mergeCell ref="U79:W79"/>
    <mergeCell ref="X79:Z79"/>
    <mergeCell ref="C78:E78"/>
    <mergeCell ref="F78:H78"/>
    <mergeCell ref="I78:K78"/>
    <mergeCell ref="L78:N78"/>
    <mergeCell ref="O78:Q78"/>
    <mergeCell ref="R78:T78"/>
    <mergeCell ref="U76:W76"/>
    <mergeCell ref="X76:Z76"/>
    <mergeCell ref="C77:E77"/>
    <mergeCell ref="F77:H77"/>
    <mergeCell ref="I77:K77"/>
    <mergeCell ref="L77:N77"/>
    <mergeCell ref="O77:Q77"/>
    <mergeCell ref="R77:T77"/>
    <mergeCell ref="U77:W77"/>
    <mergeCell ref="X77:Z77"/>
    <mergeCell ref="C76:E76"/>
    <mergeCell ref="F76:H76"/>
    <mergeCell ref="I76:K76"/>
    <mergeCell ref="L76:N76"/>
    <mergeCell ref="O76:Q76"/>
    <mergeCell ref="R76:T76"/>
    <mergeCell ref="C75:E75"/>
    <mergeCell ref="F75:H75"/>
    <mergeCell ref="I75:K75"/>
    <mergeCell ref="L75:N75"/>
    <mergeCell ref="O75:Q75"/>
    <mergeCell ref="R75:T75"/>
    <mergeCell ref="U75:W75"/>
    <mergeCell ref="X75:Z75"/>
    <mergeCell ref="C74:E74"/>
    <mergeCell ref="F74:H74"/>
    <mergeCell ref="I74:K74"/>
    <mergeCell ref="L74:N74"/>
    <mergeCell ref="O74:Q74"/>
    <mergeCell ref="R74:T74"/>
    <mergeCell ref="C73:E73"/>
    <mergeCell ref="F73:H73"/>
    <mergeCell ref="I73:K73"/>
    <mergeCell ref="L73:N73"/>
    <mergeCell ref="O73:Q73"/>
    <mergeCell ref="R73:T73"/>
    <mergeCell ref="U73:W73"/>
    <mergeCell ref="X73:Z73"/>
    <mergeCell ref="U74:W74"/>
    <mergeCell ref="X74:Z74"/>
    <mergeCell ref="B71:Z71"/>
    <mergeCell ref="C72:E72"/>
    <mergeCell ref="F72:H72"/>
    <mergeCell ref="I72:K72"/>
    <mergeCell ref="L72:N72"/>
    <mergeCell ref="O72:Q72"/>
    <mergeCell ref="R72:T72"/>
    <mergeCell ref="U72:W72"/>
    <mergeCell ref="X72:Z72"/>
    <mergeCell ref="U38:W38"/>
    <mergeCell ref="X38:Z38"/>
    <mergeCell ref="B37:Z37"/>
    <mergeCell ref="C50:E50"/>
    <mergeCell ref="F50:H50"/>
    <mergeCell ref="I50:K50"/>
    <mergeCell ref="L50:N50"/>
    <mergeCell ref="O50:Q50"/>
    <mergeCell ref="R50:T50"/>
    <mergeCell ref="U50:W50"/>
    <mergeCell ref="C38:E38"/>
    <mergeCell ref="F38:H38"/>
    <mergeCell ref="I38:K38"/>
    <mergeCell ref="L38:N38"/>
    <mergeCell ref="O38:Q38"/>
    <mergeCell ref="R38:T38"/>
    <mergeCell ref="X50:Z50"/>
    <mergeCell ref="B49:Z49"/>
    <mergeCell ref="C27:E27"/>
    <mergeCell ref="F27:H27"/>
    <mergeCell ref="I27:K27"/>
    <mergeCell ref="L27:N27"/>
    <mergeCell ref="O27:Q27"/>
    <mergeCell ref="R27:T27"/>
    <mergeCell ref="U27:W27"/>
    <mergeCell ref="X27:Z27"/>
    <mergeCell ref="B26:Z26"/>
    <mergeCell ref="U3:W3"/>
    <mergeCell ref="X3:Z3"/>
    <mergeCell ref="C16:E16"/>
    <mergeCell ref="F16:H16"/>
    <mergeCell ref="I16:K16"/>
    <mergeCell ref="L16:N16"/>
    <mergeCell ref="O16:Q16"/>
    <mergeCell ref="R16:T16"/>
    <mergeCell ref="U16:W16"/>
    <mergeCell ref="X16:Z16"/>
    <mergeCell ref="C3:E3"/>
    <mergeCell ref="F3:H3"/>
    <mergeCell ref="I3:K3"/>
    <mergeCell ref="L3:N3"/>
    <mergeCell ref="O3:Q3"/>
    <mergeCell ref="R3:T3"/>
    <mergeCell ref="B14:Z14"/>
    <mergeCell ref="B107:Z107"/>
    <mergeCell ref="C108:E108"/>
    <mergeCell ref="F108:H108"/>
    <mergeCell ref="I108:K108"/>
    <mergeCell ref="L108:N108"/>
    <mergeCell ref="O108:Q108"/>
    <mergeCell ref="R108:T108"/>
    <mergeCell ref="U108:W108"/>
    <mergeCell ref="X108:Z108"/>
    <mergeCell ref="C109:E109"/>
    <mergeCell ref="F109:H109"/>
    <mergeCell ref="I109:K109"/>
    <mergeCell ref="L109:N109"/>
    <mergeCell ref="O109:Q109"/>
    <mergeCell ref="R109:T109"/>
    <mergeCell ref="U109:W109"/>
    <mergeCell ref="X109:Z109"/>
    <mergeCell ref="C110:E110"/>
    <mergeCell ref="F110:H110"/>
    <mergeCell ref="I110:K110"/>
    <mergeCell ref="L110:N110"/>
    <mergeCell ref="O110:Q110"/>
    <mergeCell ref="R110:T110"/>
    <mergeCell ref="U110:W110"/>
    <mergeCell ref="X110:Z110"/>
    <mergeCell ref="C111:E111"/>
    <mergeCell ref="F111:H111"/>
    <mergeCell ref="I111:K111"/>
    <mergeCell ref="L111:N111"/>
    <mergeCell ref="O111:Q111"/>
    <mergeCell ref="R111:T111"/>
    <mergeCell ref="U111:W111"/>
    <mergeCell ref="X111:Z111"/>
    <mergeCell ref="C112:E112"/>
    <mergeCell ref="F112:H112"/>
    <mergeCell ref="I112:K112"/>
    <mergeCell ref="L112:N112"/>
    <mergeCell ref="O112:Q112"/>
    <mergeCell ref="R112:T112"/>
    <mergeCell ref="U112:W112"/>
    <mergeCell ref="X112:Z112"/>
    <mergeCell ref="C115:E115"/>
    <mergeCell ref="F115:H115"/>
    <mergeCell ref="I115:K115"/>
    <mergeCell ref="L115:N115"/>
    <mergeCell ref="O115:Q115"/>
    <mergeCell ref="R115:T115"/>
    <mergeCell ref="U115:W115"/>
    <mergeCell ref="X115:Z115"/>
    <mergeCell ref="C113:E113"/>
    <mergeCell ref="F113:H113"/>
    <mergeCell ref="I113:K113"/>
    <mergeCell ref="L113:N113"/>
    <mergeCell ref="O113:Q113"/>
    <mergeCell ref="R113:T113"/>
    <mergeCell ref="U113:W113"/>
    <mergeCell ref="X113:Z113"/>
    <mergeCell ref="C114:E114"/>
    <mergeCell ref="F114:H114"/>
    <mergeCell ref="I114:K114"/>
    <mergeCell ref="L114:N114"/>
    <mergeCell ref="O114:Q114"/>
    <mergeCell ref="R114:T114"/>
    <mergeCell ref="U114:W114"/>
    <mergeCell ref="X114:Z114"/>
  </mergeCells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D737-2C7A-4571-A877-E9A6D591D5C6}">
  <dimension ref="A1:Y22"/>
  <sheetViews>
    <sheetView workbookViewId="0">
      <selection activeCell="H20" sqref="H20:J22"/>
    </sheetView>
  </sheetViews>
  <sheetFormatPr defaultRowHeight="15" x14ac:dyDescent="0.25"/>
  <cols>
    <col min="1" max="25" width="7.7109375" customWidth="1"/>
  </cols>
  <sheetData>
    <row r="1" spans="1:15" ht="15.75" thickBot="1" x14ac:dyDescent="0.3"/>
    <row r="2" spans="1:15" x14ac:dyDescent="0.25">
      <c r="A2" s="111" t="s">
        <v>3</v>
      </c>
      <c r="B2" s="112"/>
      <c r="C2" s="112"/>
      <c r="D2" s="112"/>
      <c r="E2" s="64"/>
      <c r="F2" s="65"/>
      <c r="G2" s="66"/>
      <c r="I2" s="111" t="s">
        <v>3</v>
      </c>
      <c r="J2" s="112"/>
      <c r="K2" s="112"/>
      <c r="L2" s="112"/>
      <c r="M2" s="64"/>
      <c r="N2" s="65"/>
      <c r="O2" s="66"/>
    </row>
    <row r="3" spans="1:15" s="74" customFormat="1" ht="30" x14ac:dyDescent="0.25">
      <c r="A3" s="67" t="s">
        <v>11</v>
      </c>
      <c r="B3" s="84" t="s">
        <v>13</v>
      </c>
      <c r="C3" s="84"/>
      <c r="D3" s="84"/>
      <c r="E3" s="6"/>
      <c r="F3" s="7" t="s">
        <v>163</v>
      </c>
      <c r="G3" s="73" t="s">
        <v>164</v>
      </c>
      <c r="I3" s="67" t="s">
        <v>11</v>
      </c>
      <c r="J3" s="84" t="s">
        <v>13</v>
      </c>
      <c r="K3" s="84"/>
      <c r="L3" s="84"/>
      <c r="M3" s="6"/>
      <c r="N3" s="7" t="s">
        <v>163</v>
      </c>
      <c r="O3" s="73" t="s">
        <v>164</v>
      </c>
    </row>
    <row r="4" spans="1:15" s="74" customFormat="1" ht="30" x14ac:dyDescent="0.25">
      <c r="A4" s="75"/>
      <c r="B4" s="7" t="s">
        <v>0</v>
      </c>
      <c r="C4" s="7" t="s">
        <v>1</v>
      </c>
      <c r="D4" s="7" t="s">
        <v>2</v>
      </c>
      <c r="E4" s="7"/>
      <c r="F4" s="7" t="s">
        <v>12</v>
      </c>
      <c r="G4" s="73" t="s">
        <v>165</v>
      </c>
      <c r="I4" s="75"/>
      <c r="J4" s="7" t="s">
        <v>0</v>
      </c>
      <c r="K4" s="7" t="s">
        <v>1</v>
      </c>
      <c r="L4" s="7" t="s">
        <v>2</v>
      </c>
      <c r="M4" s="7"/>
      <c r="N4" s="7" t="s">
        <v>12</v>
      </c>
      <c r="O4" s="73" t="s">
        <v>165</v>
      </c>
    </row>
    <row r="5" spans="1:15" x14ac:dyDescent="0.25">
      <c r="A5" s="69" t="s">
        <v>15</v>
      </c>
      <c r="B5" s="1">
        <v>0.99</v>
      </c>
      <c r="C5" s="1">
        <v>0.05</v>
      </c>
      <c r="D5" s="1">
        <v>0.01</v>
      </c>
      <c r="E5" s="1"/>
      <c r="F5" s="1">
        <f>B5^2+C5^2+D5^2</f>
        <v>0.98269999999999991</v>
      </c>
      <c r="G5" s="68">
        <f>B5^2-C5^2-D5^2</f>
        <v>0.97750000000000004</v>
      </c>
      <c r="I5" s="69" t="s">
        <v>15</v>
      </c>
      <c r="J5" s="1">
        <v>0.99</v>
      </c>
      <c r="K5" s="1">
        <v>0.05</v>
      </c>
      <c r="L5" s="1">
        <v>0.01</v>
      </c>
      <c r="M5" s="1"/>
      <c r="N5" s="1">
        <f t="shared" ref="N5:N15" si="0">J5^2+K5^2+L5^2</f>
        <v>0.98269999999999991</v>
      </c>
      <c r="O5" s="68">
        <f t="shared" ref="O5:O15" si="1">J5^2-K5^2-L5^2</f>
        <v>0.97750000000000004</v>
      </c>
    </row>
    <row r="6" spans="1:15" x14ac:dyDescent="0.25">
      <c r="A6" s="69" t="s">
        <v>16</v>
      </c>
      <c r="B6" s="1">
        <v>0.95</v>
      </c>
      <c r="C6" s="1">
        <v>0.35</v>
      </c>
      <c r="D6" s="1">
        <v>0.15</v>
      </c>
      <c r="E6" s="1"/>
      <c r="F6" s="1">
        <f t="shared" ref="F6:F15" si="2">B6^2+C6^2+D6^2</f>
        <v>1.0474999999999999</v>
      </c>
      <c r="G6" s="68">
        <f t="shared" ref="G6:G15" si="3">B6^2-C6^2-D6^2</f>
        <v>0.75750000000000006</v>
      </c>
      <c r="I6" s="69" t="s">
        <v>16</v>
      </c>
      <c r="J6" s="1">
        <v>0.95</v>
      </c>
      <c r="K6" s="1">
        <v>0.35</v>
      </c>
      <c r="L6" s="1">
        <v>0.15</v>
      </c>
      <c r="M6" s="1"/>
      <c r="N6" s="1">
        <f t="shared" si="0"/>
        <v>1.0474999999999999</v>
      </c>
      <c r="O6" s="68">
        <f t="shared" si="1"/>
        <v>0.75750000000000006</v>
      </c>
    </row>
    <row r="7" spans="1:15" x14ac:dyDescent="0.25">
      <c r="A7" s="69" t="s">
        <v>17</v>
      </c>
      <c r="B7" s="1">
        <v>0.9</v>
      </c>
      <c r="C7" s="1">
        <v>0.42</v>
      </c>
      <c r="D7" s="1">
        <v>0.25</v>
      </c>
      <c r="E7" s="1"/>
      <c r="F7" s="1">
        <f t="shared" si="2"/>
        <v>1.0489000000000002</v>
      </c>
      <c r="G7" s="68">
        <f t="shared" si="3"/>
        <v>0.57110000000000005</v>
      </c>
      <c r="I7" s="69" t="s">
        <v>17</v>
      </c>
      <c r="J7" s="1">
        <v>0.9</v>
      </c>
      <c r="K7" s="1">
        <v>0.42</v>
      </c>
      <c r="L7" s="1">
        <v>0.25</v>
      </c>
      <c r="M7" s="1"/>
      <c r="N7" s="1">
        <f t="shared" si="0"/>
        <v>1.0489000000000002</v>
      </c>
      <c r="O7" s="68">
        <f t="shared" si="1"/>
        <v>0.57110000000000005</v>
      </c>
    </row>
    <row r="8" spans="1:15" x14ac:dyDescent="0.25">
      <c r="A8" s="69" t="s">
        <v>2</v>
      </c>
      <c r="B8" s="1">
        <v>0.8</v>
      </c>
      <c r="C8" s="1">
        <v>0.55000000000000004</v>
      </c>
      <c r="D8" s="1">
        <v>0.35</v>
      </c>
      <c r="E8" s="1"/>
      <c r="F8" s="1">
        <f t="shared" si="2"/>
        <v>1.0650000000000002</v>
      </c>
      <c r="G8" s="68">
        <f t="shared" si="3"/>
        <v>0.21500000000000008</v>
      </c>
      <c r="I8" s="69" t="s">
        <v>2</v>
      </c>
      <c r="J8" s="1">
        <v>0.8</v>
      </c>
      <c r="K8" s="1">
        <v>0.55000000000000004</v>
      </c>
      <c r="L8" s="1">
        <v>0.35</v>
      </c>
      <c r="M8" s="1"/>
      <c r="N8" s="1">
        <f t="shared" si="0"/>
        <v>1.0650000000000002</v>
      </c>
      <c r="O8" s="68">
        <f t="shared" si="1"/>
        <v>0.21500000000000008</v>
      </c>
    </row>
    <row r="9" spans="1:15" x14ac:dyDescent="0.25">
      <c r="A9" s="69" t="s">
        <v>18</v>
      </c>
      <c r="B9" s="1">
        <v>0.7</v>
      </c>
      <c r="C9" s="1">
        <v>0.74</v>
      </c>
      <c r="D9" s="1">
        <v>0.4</v>
      </c>
      <c r="E9" s="1"/>
      <c r="F9" s="1">
        <f t="shared" si="2"/>
        <v>1.1976</v>
      </c>
      <c r="G9" s="68">
        <f t="shared" si="3"/>
        <v>-0.21760000000000007</v>
      </c>
      <c r="I9" s="69" t="s">
        <v>18</v>
      </c>
      <c r="J9" s="1">
        <v>0.7</v>
      </c>
      <c r="K9" s="1">
        <v>0.74</v>
      </c>
      <c r="L9" s="1">
        <v>0.4</v>
      </c>
      <c r="M9" s="1"/>
      <c r="N9" s="1">
        <f t="shared" si="0"/>
        <v>1.1976</v>
      </c>
      <c r="O9" s="68">
        <f t="shared" si="1"/>
        <v>-0.21760000000000007</v>
      </c>
    </row>
    <row r="10" spans="1:15" x14ac:dyDescent="0.25">
      <c r="A10" s="69" t="s">
        <v>7</v>
      </c>
      <c r="B10" s="1">
        <v>0.55000000000000004</v>
      </c>
      <c r="C10" s="1">
        <v>0.85</v>
      </c>
      <c r="D10" s="1">
        <v>0.45</v>
      </c>
      <c r="E10" s="1"/>
      <c r="F10" s="1">
        <f t="shared" si="2"/>
        <v>1.2275</v>
      </c>
      <c r="G10" s="68">
        <f t="shared" si="3"/>
        <v>-0.62249999999999983</v>
      </c>
      <c r="I10" s="69" t="s">
        <v>7</v>
      </c>
      <c r="J10" s="1">
        <v>0.55000000000000004</v>
      </c>
      <c r="K10" s="1">
        <v>0.85</v>
      </c>
      <c r="L10" s="1">
        <v>0.45</v>
      </c>
      <c r="M10" s="1"/>
      <c r="N10" s="1">
        <f t="shared" si="0"/>
        <v>1.2275</v>
      </c>
      <c r="O10" s="68">
        <f t="shared" si="1"/>
        <v>-0.62249999999999983</v>
      </c>
    </row>
    <row r="11" spans="1:15" x14ac:dyDescent="0.25">
      <c r="A11" s="69" t="s">
        <v>19</v>
      </c>
      <c r="B11" s="1">
        <v>0.45</v>
      </c>
      <c r="C11" s="1">
        <v>0.9</v>
      </c>
      <c r="D11" s="1">
        <v>0.55000000000000004</v>
      </c>
      <c r="E11" s="1"/>
      <c r="F11" s="1">
        <f t="shared" si="2"/>
        <v>1.3150000000000002</v>
      </c>
      <c r="G11" s="68">
        <f t="shared" si="3"/>
        <v>-0.91000000000000014</v>
      </c>
      <c r="I11" s="69" t="s">
        <v>20</v>
      </c>
      <c r="J11" s="1">
        <v>0.4</v>
      </c>
      <c r="K11" s="1">
        <v>0.55000000000000004</v>
      </c>
      <c r="L11" s="1">
        <v>0.7</v>
      </c>
      <c r="M11" s="1"/>
      <c r="N11" s="1">
        <f t="shared" si="0"/>
        <v>0.95250000000000001</v>
      </c>
      <c r="O11" s="68">
        <f t="shared" si="1"/>
        <v>-0.63249999999999995</v>
      </c>
    </row>
    <row r="12" spans="1:15" x14ac:dyDescent="0.25">
      <c r="A12" s="69" t="s">
        <v>20</v>
      </c>
      <c r="B12" s="1">
        <v>0.4</v>
      </c>
      <c r="C12" s="1">
        <v>0.55000000000000004</v>
      </c>
      <c r="D12" s="1">
        <v>0.7</v>
      </c>
      <c r="E12" s="1"/>
      <c r="F12" s="1">
        <f t="shared" si="2"/>
        <v>0.95250000000000001</v>
      </c>
      <c r="G12" s="68">
        <f t="shared" si="3"/>
        <v>-0.63249999999999995</v>
      </c>
      <c r="I12" s="69" t="s">
        <v>19</v>
      </c>
      <c r="J12" s="1">
        <v>0.45</v>
      </c>
      <c r="K12" s="1">
        <v>0.9</v>
      </c>
      <c r="L12" s="1">
        <v>0.55000000000000004</v>
      </c>
      <c r="M12" s="1"/>
      <c r="N12" s="1">
        <f t="shared" si="0"/>
        <v>1.3150000000000002</v>
      </c>
      <c r="O12" s="68">
        <f t="shared" si="1"/>
        <v>-0.91000000000000014</v>
      </c>
    </row>
    <row r="13" spans="1:15" x14ac:dyDescent="0.25">
      <c r="A13" s="69" t="s">
        <v>21</v>
      </c>
      <c r="B13" s="1">
        <v>0.35</v>
      </c>
      <c r="C13" s="1">
        <v>0.65</v>
      </c>
      <c r="D13" s="1">
        <v>0.8</v>
      </c>
      <c r="E13" s="1"/>
      <c r="F13" s="1">
        <f t="shared" si="2"/>
        <v>1.1850000000000001</v>
      </c>
      <c r="G13" s="68">
        <f t="shared" si="3"/>
        <v>-0.94000000000000017</v>
      </c>
      <c r="I13" s="69" t="s">
        <v>21</v>
      </c>
      <c r="J13" s="1">
        <v>0.35</v>
      </c>
      <c r="K13" s="1">
        <v>0.65</v>
      </c>
      <c r="L13" s="1">
        <v>0.8</v>
      </c>
      <c r="M13" s="1"/>
      <c r="N13" s="1">
        <f t="shared" si="0"/>
        <v>1.1850000000000001</v>
      </c>
      <c r="O13" s="68">
        <f t="shared" si="1"/>
        <v>-0.94000000000000017</v>
      </c>
    </row>
    <row r="14" spans="1:15" x14ac:dyDescent="0.25">
      <c r="A14" s="69" t="s">
        <v>22</v>
      </c>
      <c r="B14" s="1">
        <v>0.25</v>
      </c>
      <c r="C14" s="1">
        <v>0.45</v>
      </c>
      <c r="D14" s="1">
        <v>0.9</v>
      </c>
      <c r="E14" s="1"/>
      <c r="F14" s="1">
        <f t="shared" si="2"/>
        <v>1.0750000000000002</v>
      </c>
      <c r="G14" s="68">
        <f t="shared" si="3"/>
        <v>-0.95000000000000007</v>
      </c>
      <c r="I14" s="69" t="s">
        <v>22</v>
      </c>
      <c r="J14" s="1">
        <v>0.25</v>
      </c>
      <c r="K14" s="1">
        <v>0.45</v>
      </c>
      <c r="L14" s="1">
        <v>0.9</v>
      </c>
      <c r="M14" s="1"/>
      <c r="N14" s="1">
        <f t="shared" si="0"/>
        <v>1.0750000000000002</v>
      </c>
      <c r="O14" s="68">
        <f t="shared" si="1"/>
        <v>-0.95000000000000007</v>
      </c>
    </row>
    <row r="15" spans="1:15" ht="15.75" thickBot="1" x14ac:dyDescent="0.3">
      <c r="A15" s="70" t="s">
        <v>23</v>
      </c>
      <c r="B15" s="71">
        <v>0.15</v>
      </c>
      <c r="C15" s="71">
        <v>0.35</v>
      </c>
      <c r="D15" s="71">
        <v>0.95</v>
      </c>
      <c r="E15" s="71"/>
      <c r="F15" s="71">
        <f t="shared" si="2"/>
        <v>1.0474999999999999</v>
      </c>
      <c r="G15" s="72">
        <f t="shared" si="3"/>
        <v>-1.0024999999999999</v>
      </c>
      <c r="I15" s="70" t="s">
        <v>23</v>
      </c>
      <c r="J15" s="71">
        <v>0.15</v>
      </c>
      <c r="K15" s="71">
        <v>0.35</v>
      </c>
      <c r="L15" s="71">
        <v>0.95</v>
      </c>
      <c r="M15" s="71"/>
      <c r="N15" s="71">
        <f t="shared" si="0"/>
        <v>1.0474999999999999</v>
      </c>
      <c r="O15" s="72">
        <f t="shared" si="1"/>
        <v>-1.0024999999999999</v>
      </c>
    </row>
    <row r="19" spans="1:25" ht="15.75" thickBot="1" x14ac:dyDescent="0.3">
      <c r="B19" s="102" t="s">
        <v>162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5" x14ac:dyDescent="0.25">
      <c r="A20" s="51" t="s">
        <v>140</v>
      </c>
      <c r="B20" s="92">
        <v>-0.95000000000000007</v>
      </c>
      <c r="C20" s="92"/>
      <c r="D20" s="92"/>
      <c r="E20" s="92">
        <v>-0.94000000000000017</v>
      </c>
      <c r="F20" s="92"/>
      <c r="G20" s="92"/>
      <c r="H20" s="92">
        <v>-0.21760000000000007</v>
      </c>
      <c r="I20" s="92"/>
      <c r="J20" s="92"/>
      <c r="K20" s="92">
        <v>-0.91000000000000014</v>
      </c>
      <c r="L20" s="92"/>
      <c r="M20" s="92"/>
      <c r="N20" s="92">
        <v>-0.21760000000000007</v>
      </c>
      <c r="O20" s="92"/>
      <c r="P20" s="92"/>
      <c r="Q20" s="92">
        <v>-0.62249999999999983</v>
      </c>
      <c r="R20" s="92"/>
      <c r="S20" s="92"/>
      <c r="T20" s="92">
        <v>-0.62249999999999983</v>
      </c>
      <c r="U20" s="92"/>
      <c r="V20" s="92"/>
      <c r="W20" s="92">
        <v>-1.0024999999999999</v>
      </c>
      <c r="X20" s="92"/>
      <c r="Y20" s="93"/>
    </row>
    <row r="21" spans="1:25" x14ac:dyDescent="0.25">
      <c r="A21" s="13" t="s">
        <v>141</v>
      </c>
      <c r="B21" s="89">
        <v>-0.62249999999999983</v>
      </c>
      <c r="C21" s="89"/>
      <c r="D21" s="89"/>
      <c r="E21" s="89">
        <v>-0.21760000000000007</v>
      </c>
      <c r="F21" s="89"/>
      <c r="G21" s="89"/>
      <c r="H21" s="89">
        <v>0.21500000000000008</v>
      </c>
      <c r="I21" s="89"/>
      <c r="J21" s="89"/>
      <c r="K21" s="89">
        <v>-0.21760000000000007</v>
      </c>
      <c r="L21" s="89"/>
      <c r="M21" s="89"/>
      <c r="N21" s="89">
        <v>0.57110000000000005</v>
      </c>
      <c r="O21" s="89"/>
      <c r="P21" s="89"/>
      <c r="Q21" s="89">
        <v>0.21500000000000008</v>
      </c>
      <c r="R21" s="89"/>
      <c r="S21" s="89"/>
      <c r="T21" s="89">
        <v>0.21500000000000008</v>
      </c>
      <c r="U21" s="89"/>
      <c r="V21" s="89"/>
      <c r="W21" s="89">
        <v>-0.21760000000000007</v>
      </c>
      <c r="X21" s="89"/>
      <c r="Y21" s="90"/>
    </row>
    <row r="22" spans="1:25" ht="15.75" thickBot="1" x14ac:dyDescent="0.3">
      <c r="A22" s="15" t="s">
        <v>142</v>
      </c>
      <c r="B22" s="102">
        <v>0.57110000000000005</v>
      </c>
      <c r="C22" s="102"/>
      <c r="D22" s="102"/>
      <c r="E22" s="102">
        <v>0.75750000000000006</v>
      </c>
      <c r="F22" s="102"/>
      <c r="G22" s="102"/>
      <c r="H22" s="102">
        <v>0.57110000000000005</v>
      </c>
      <c r="I22" s="102"/>
      <c r="J22" s="102"/>
      <c r="K22" s="102">
        <v>0.57110000000000005</v>
      </c>
      <c r="L22" s="102"/>
      <c r="M22" s="102"/>
      <c r="N22" s="102">
        <v>0.97750000000000004</v>
      </c>
      <c r="O22" s="102"/>
      <c r="P22" s="102"/>
      <c r="Q22" s="102">
        <v>0.75750000000000006</v>
      </c>
      <c r="R22" s="102"/>
      <c r="S22" s="102"/>
      <c r="T22" s="102">
        <v>0.97750000000000004</v>
      </c>
      <c r="U22" s="102"/>
      <c r="V22" s="102"/>
      <c r="W22" s="102">
        <v>0.75750000000000006</v>
      </c>
      <c r="X22" s="102"/>
      <c r="Y22" s="103"/>
    </row>
  </sheetData>
  <sortState xmlns:xlrd2="http://schemas.microsoft.com/office/spreadsheetml/2017/richdata2" ref="H20:J22">
    <sortCondition ref="H20:H22"/>
  </sortState>
  <mergeCells count="29">
    <mergeCell ref="A2:D2"/>
    <mergeCell ref="B3:D3"/>
    <mergeCell ref="I2:L2"/>
    <mergeCell ref="J3:L3"/>
    <mergeCell ref="Q21:S21"/>
    <mergeCell ref="B19:Y19"/>
    <mergeCell ref="B20:D20"/>
    <mergeCell ref="E20:G20"/>
    <mergeCell ref="H20:J20"/>
    <mergeCell ref="K20:M20"/>
    <mergeCell ref="N20:P20"/>
    <mergeCell ref="Q20:S20"/>
    <mergeCell ref="T20:V20"/>
    <mergeCell ref="W20:Y20"/>
    <mergeCell ref="T21:V21"/>
    <mergeCell ref="W21:Y21"/>
    <mergeCell ref="Q22:S22"/>
    <mergeCell ref="T22:V22"/>
    <mergeCell ref="W22:Y22"/>
    <mergeCell ref="B21:D21"/>
    <mergeCell ref="E21:G21"/>
    <mergeCell ref="H21:J21"/>
    <mergeCell ref="K21:M21"/>
    <mergeCell ref="N21:P21"/>
    <mergeCell ref="B22:D22"/>
    <mergeCell ref="E22:G22"/>
    <mergeCell ref="H22:J22"/>
    <mergeCell ref="K22:M22"/>
    <mergeCell ref="N22:P2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95DC-990C-4C52-81B4-9F7749C8283E}">
  <dimension ref="A1:BD179"/>
  <sheetViews>
    <sheetView topLeftCell="A160" zoomScale="80" zoomScaleNormal="80" workbookViewId="0">
      <selection activeCell="L180" sqref="L180"/>
    </sheetView>
  </sheetViews>
  <sheetFormatPr defaultRowHeight="15" x14ac:dyDescent="0.25"/>
  <cols>
    <col min="1" max="49" width="8.7109375" customWidth="1"/>
    <col min="50" max="50" width="8" customWidth="1"/>
  </cols>
  <sheetData>
    <row r="1" spans="1:56" ht="15.75" thickBot="1" x14ac:dyDescent="0.3"/>
    <row r="2" spans="1:56" x14ac:dyDescent="0.25">
      <c r="A2" s="94" t="s">
        <v>149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3"/>
    </row>
    <row r="3" spans="1:56" x14ac:dyDescent="0.25">
      <c r="A3" s="13"/>
      <c r="B3" s="89" t="s">
        <v>107</v>
      </c>
      <c r="C3" s="89"/>
      <c r="D3" s="89"/>
      <c r="E3" s="89" t="s">
        <v>108</v>
      </c>
      <c r="F3" s="89"/>
      <c r="G3" s="89"/>
      <c r="H3" s="89" t="s">
        <v>109</v>
      </c>
      <c r="I3" s="89"/>
      <c r="J3" s="89"/>
      <c r="K3" s="89" t="s">
        <v>110</v>
      </c>
      <c r="L3" s="89"/>
      <c r="M3" s="89"/>
      <c r="N3" s="89" t="s">
        <v>111</v>
      </c>
      <c r="O3" s="89"/>
      <c r="P3" s="89"/>
      <c r="Q3" s="89" t="s">
        <v>112</v>
      </c>
      <c r="R3" s="89"/>
      <c r="S3" s="89"/>
      <c r="T3" s="89" t="s">
        <v>113</v>
      </c>
      <c r="U3" s="89"/>
      <c r="V3" s="89"/>
      <c r="W3" s="89" t="s">
        <v>114</v>
      </c>
      <c r="X3" s="89"/>
      <c r="Y3" s="90"/>
    </row>
    <row r="4" spans="1:56" x14ac:dyDescent="0.25">
      <c r="A4" s="13" t="s">
        <v>128</v>
      </c>
      <c r="B4" s="89">
        <v>-0.47849999999999998</v>
      </c>
      <c r="C4" s="89"/>
      <c r="D4" s="89"/>
      <c r="E4" s="89">
        <v>-0.1782</v>
      </c>
      <c r="F4" s="89"/>
      <c r="G4" s="89"/>
      <c r="H4" s="89">
        <v>-0.85980000000000001</v>
      </c>
      <c r="I4" s="89"/>
      <c r="J4" s="89"/>
      <c r="K4" s="89">
        <v>-0.64449999999999996</v>
      </c>
      <c r="L4" s="89"/>
      <c r="M4" s="89"/>
      <c r="N4" s="89">
        <v>-0.45</v>
      </c>
      <c r="O4" s="89"/>
      <c r="P4" s="89"/>
      <c r="Q4" s="89">
        <v>-1.0845</v>
      </c>
      <c r="R4" s="89"/>
      <c r="S4" s="89"/>
      <c r="T4" s="89">
        <v>-0.90390000000000004</v>
      </c>
      <c r="U4" s="89"/>
      <c r="V4" s="89"/>
      <c r="W4" s="89">
        <v>-1.2649999999999999</v>
      </c>
      <c r="X4" s="89"/>
      <c r="Y4" s="90"/>
    </row>
    <row r="5" spans="1:56" x14ac:dyDescent="0.25">
      <c r="A5" s="13" t="s">
        <v>129</v>
      </c>
      <c r="B5" s="89">
        <v>-0.62129999999999996</v>
      </c>
      <c r="C5" s="89"/>
      <c r="D5" s="89"/>
      <c r="E5" s="89">
        <v>-0.15440000000000001</v>
      </c>
      <c r="F5" s="89"/>
      <c r="G5" s="89"/>
      <c r="H5" s="89">
        <v>-1.2185999999999999</v>
      </c>
      <c r="I5" s="89"/>
      <c r="J5" s="89"/>
      <c r="K5" s="89">
        <v>-0.50270000000000004</v>
      </c>
      <c r="L5" s="89"/>
      <c r="M5" s="89"/>
      <c r="N5" s="89">
        <v>-0.59</v>
      </c>
      <c r="O5" s="89"/>
      <c r="P5" s="89"/>
      <c r="Q5" s="89">
        <v>-0.93089999999999995</v>
      </c>
      <c r="R5" s="89"/>
      <c r="S5" s="89"/>
      <c r="T5" s="89">
        <v>-0.50980000000000003</v>
      </c>
      <c r="U5" s="89"/>
      <c r="V5" s="89"/>
      <c r="W5" s="89">
        <v>-1.2816000000000001</v>
      </c>
      <c r="X5" s="89"/>
      <c r="Y5" s="90"/>
    </row>
    <row r="6" spans="1:56" x14ac:dyDescent="0.25">
      <c r="A6" s="13" t="s">
        <v>130</v>
      </c>
      <c r="B6" s="89">
        <v>-0.57650000000000001</v>
      </c>
      <c r="C6" s="89"/>
      <c r="D6" s="89"/>
      <c r="E6" s="89">
        <v>-0.52049999999999996</v>
      </c>
      <c r="F6" s="89"/>
      <c r="G6" s="89"/>
      <c r="H6" s="89">
        <v>-1.1819</v>
      </c>
      <c r="I6" s="89"/>
      <c r="J6" s="89"/>
      <c r="K6" s="89">
        <v>-0.81259999999999999</v>
      </c>
      <c r="L6" s="89"/>
      <c r="M6" s="89"/>
      <c r="N6" s="89">
        <v>-0.74939999999999996</v>
      </c>
      <c r="O6" s="89"/>
      <c r="P6" s="89"/>
      <c r="Q6" s="89">
        <v>-0.95140000000000002</v>
      </c>
      <c r="R6" s="89"/>
      <c r="S6" s="89"/>
      <c r="T6" s="89">
        <v>-0.83230000000000004</v>
      </c>
      <c r="U6" s="89"/>
      <c r="V6" s="89"/>
      <c r="W6" s="89">
        <v>-1.2515000000000001</v>
      </c>
      <c r="X6" s="89"/>
      <c r="Y6" s="90"/>
    </row>
    <row r="7" spans="1:56" x14ac:dyDescent="0.25">
      <c r="A7" s="13" t="s">
        <v>131</v>
      </c>
      <c r="B7" s="89">
        <v>0.21890000000000001</v>
      </c>
      <c r="C7" s="89"/>
      <c r="D7" s="89"/>
      <c r="E7" s="89">
        <v>0.46260000000000001</v>
      </c>
      <c r="F7" s="89"/>
      <c r="G7" s="89"/>
      <c r="H7" s="89">
        <v>-1.2592000000000001</v>
      </c>
      <c r="I7" s="89"/>
      <c r="J7" s="89"/>
      <c r="K7" s="89">
        <v>8.3699999999999997E-2</v>
      </c>
      <c r="L7" s="89"/>
      <c r="M7" s="89"/>
      <c r="N7" s="89">
        <v>-1.1687000000000001</v>
      </c>
      <c r="O7" s="89"/>
      <c r="P7" s="89"/>
      <c r="Q7" s="89">
        <v>-0.53669999999999995</v>
      </c>
      <c r="R7" s="89"/>
      <c r="S7" s="89"/>
      <c r="T7" s="89">
        <v>-0.53910000000000002</v>
      </c>
      <c r="U7" s="89"/>
      <c r="V7" s="89"/>
      <c r="W7" s="89">
        <v>-1.3420000000000001</v>
      </c>
      <c r="X7" s="89"/>
      <c r="Y7" s="90"/>
    </row>
    <row r="8" spans="1:56" x14ac:dyDescent="0.25">
      <c r="A8" s="13" t="s">
        <v>132</v>
      </c>
      <c r="B8" s="89">
        <v>-0.89549999999999996</v>
      </c>
      <c r="C8" s="89"/>
      <c r="D8" s="89"/>
      <c r="E8" s="89">
        <v>-0.24229999999999999</v>
      </c>
      <c r="F8" s="89"/>
      <c r="G8" s="89"/>
      <c r="H8" s="89">
        <v>-1.2241</v>
      </c>
      <c r="I8" s="89"/>
      <c r="J8" s="89"/>
      <c r="K8" s="89">
        <v>-1.0344</v>
      </c>
      <c r="L8" s="89"/>
      <c r="M8" s="89"/>
      <c r="N8" s="89">
        <v>-0.60260000000000002</v>
      </c>
      <c r="O8" s="89"/>
      <c r="P8" s="89"/>
      <c r="Q8" s="89">
        <v>-1.2104999999999999</v>
      </c>
      <c r="R8" s="89"/>
      <c r="S8" s="89"/>
      <c r="T8" s="89">
        <v>-0.67220000000000002</v>
      </c>
      <c r="U8" s="89"/>
      <c r="V8" s="89"/>
      <c r="W8" s="89">
        <v>-1.1642999999999999</v>
      </c>
      <c r="X8" s="89"/>
      <c r="Y8" s="90"/>
    </row>
    <row r="9" spans="1:56" x14ac:dyDescent="0.25">
      <c r="A9" s="13" t="s">
        <v>133</v>
      </c>
      <c r="B9" s="89">
        <v>-3.78E-2</v>
      </c>
      <c r="C9" s="89"/>
      <c r="D9" s="89"/>
      <c r="E9" s="89">
        <v>1.6000000000000001E-3</v>
      </c>
      <c r="F9" s="89"/>
      <c r="G9" s="89"/>
      <c r="H9" s="89">
        <v>-1.1823999999999999</v>
      </c>
      <c r="I9" s="89"/>
      <c r="J9" s="89"/>
      <c r="K9" s="89">
        <v>-0.83760000000000001</v>
      </c>
      <c r="L9" s="89"/>
      <c r="M9" s="89"/>
      <c r="N9" s="89">
        <v>-1.1055999999999999</v>
      </c>
      <c r="O9" s="89"/>
      <c r="P9" s="89"/>
      <c r="Q9" s="89">
        <v>-0.66930000000000001</v>
      </c>
      <c r="R9" s="89"/>
      <c r="S9" s="89"/>
      <c r="T9" s="89">
        <v>-0.81210000000000004</v>
      </c>
      <c r="U9" s="89"/>
      <c r="V9" s="89"/>
      <c r="W9" s="89">
        <v>-0.91320000000000001</v>
      </c>
      <c r="X9" s="89"/>
      <c r="Y9" s="90"/>
    </row>
    <row r="10" spans="1:56" ht="15.75" thickBot="1" x14ac:dyDescent="0.3">
      <c r="A10" s="15" t="s">
        <v>134</v>
      </c>
      <c r="B10" s="102">
        <v>-0.99909999999999999</v>
      </c>
      <c r="C10" s="102"/>
      <c r="D10" s="102"/>
      <c r="E10" s="102">
        <v>-0.72699999999999998</v>
      </c>
      <c r="F10" s="102"/>
      <c r="G10" s="102"/>
      <c r="H10" s="102">
        <v>-0.88670000000000004</v>
      </c>
      <c r="I10" s="102"/>
      <c r="J10" s="102"/>
      <c r="K10" s="102">
        <v>-0.94220000000000004</v>
      </c>
      <c r="L10" s="102"/>
      <c r="M10" s="102"/>
      <c r="N10" s="102">
        <v>-1.1476</v>
      </c>
      <c r="O10" s="102"/>
      <c r="P10" s="102"/>
      <c r="Q10" s="102">
        <v>-0.98250000000000004</v>
      </c>
      <c r="R10" s="102"/>
      <c r="S10" s="102"/>
      <c r="T10" s="102">
        <v>-0.4768</v>
      </c>
      <c r="U10" s="102"/>
      <c r="V10" s="102"/>
      <c r="W10" s="102">
        <v>-1.2864</v>
      </c>
      <c r="X10" s="102"/>
      <c r="Y10" s="103"/>
    </row>
    <row r="11" spans="1:56" x14ac:dyDescent="0.25">
      <c r="H11" s="11"/>
      <c r="U11" s="11"/>
    </row>
    <row r="12" spans="1:56" x14ac:dyDescent="0.25">
      <c r="H12" s="11"/>
    </row>
    <row r="13" spans="1:56" x14ac:dyDescent="0.25">
      <c r="A13" s="89" t="s">
        <v>158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</row>
    <row r="14" spans="1:56" ht="15.75" thickBot="1" x14ac:dyDescent="0.3">
      <c r="A14" s="41">
        <v>-0.47849999999999998</v>
      </c>
      <c r="B14" s="41">
        <v>-0.62129999999999996</v>
      </c>
      <c r="C14" s="41">
        <v>-0.57650000000000001</v>
      </c>
      <c r="D14" s="41">
        <v>0.21890000000000001</v>
      </c>
      <c r="E14" s="41">
        <v>-0.89549999999999996</v>
      </c>
      <c r="F14" s="41">
        <v>-3.78E-2</v>
      </c>
      <c r="G14" s="60">
        <v>-0.99909999999999999</v>
      </c>
      <c r="H14" s="10">
        <v>-0.1782</v>
      </c>
      <c r="I14" s="10">
        <v>-0.15440000000000001</v>
      </c>
      <c r="J14" s="10">
        <v>-0.52049999999999996</v>
      </c>
      <c r="K14" s="10">
        <v>0.46260000000000001</v>
      </c>
      <c r="L14" s="10">
        <v>-0.24229999999999999</v>
      </c>
      <c r="M14" s="10">
        <v>1.6000000000000001E-3</v>
      </c>
      <c r="N14" s="24">
        <v>-0.72699999999999998</v>
      </c>
      <c r="O14" s="41">
        <v>-0.85980000000000001</v>
      </c>
      <c r="P14" s="41">
        <v>-1.2185999999999999</v>
      </c>
      <c r="Q14" s="41">
        <v>-1.1819</v>
      </c>
      <c r="R14" s="41">
        <v>-1.2592000000000001</v>
      </c>
      <c r="S14" s="41">
        <v>-1.2241</v>
      </c>
      <c r="T14" s="41">
        <v>-1.1823999999999999</v>
      </c>
      <c r="U14" s="60">
        <v>-0.88670000000000004</v>
      </c>
      <c r="V14" s="10">
        <v>-0.64449999999999996</v>
      </c>
      <c r="W14" s="10">
        <v>-0.50270000000000004</v>
      </c>
      <c r="X14" s="10">
        <v>-0.81259999999999999</v>
      </c>
      <c r="Y14" s="10">
        <v>8.3699999999999997E-2</v>
      </c>
      <c r="Z14" s="10">
        <v>-1.0344</v>
      </c>
      <c r="AA14" s="10">
        <v>-0.83760000000000001</v>
      </c>
      <c r="AB14" s="24">
        <v>-0.94220000000000004</v>
      </c>
      <c r="AC14" s="41">
        <v>-0.45</v>
      </c>
      <c r="AD14" s="41">
        <v>-0.59</v>
      </c>
      <c r="AE14" s="41">
        <v>-0.74939999999999996</v>
      </c>
      <c r="AF14" s="41">
        <v>-1.1687000000000001</v>
      </c>
      <c r="AG14" s="41">
        <v>-0.60260000000000002</v>
      </c>
      <c r="AH14" s="41">
        <v>-1.1055999999999999</v>
      </c>
      <c r="AI14" s="60">
        <v>-1.1476</v>
      </c>
      <c r="AJ14" s="10">
        <v>-1.0845</v>
      </c>
      <c r="AK14" s="10">
        <v>-0.93089999999999995</v>
      </c>
      <c r="AL14" s="10">
        <v>-0.95140000000000002</v>
      </c>
      <c r="AM14" s="10">
        <v>-0.53669999999999995</v>
      </c>
      <c r="AN14" s="10">
        <v>-1.2104999999999999</v>
      </c>
      <c r="AO14" s="10">
        <v>-0.66930000000000001</v>
      </c>
      <c r="AP14" s="24">
        <v>-0.98250000000000004</v>
      </c>
      <c r="AQ14" s="41">
        <v>-0.90390000000000004</v>
      </c>
      <c r="AR14" s="41">
        <v>-0.50980000000000003</v>
      </c>
      <c r="AS14" s="41">
        <v>-0.83230000000000004</v>
      </c>
      <c r="AT14" s="41">
        <v>-0.53910000000000002</v>
      </c>
      <c r="AU14" s="41">
        <v>-0.67220000000000002</v>
      </c>
      <c r="AV14" s="41">
        <v>-0.81210000000000004</v>
      </c>
      <c r="AW14" s="60">
        <v>-0.4768</v>
      </c>
      <c r="AX14" s="61">
        <v>-1.2649999999999999</v>
      </c>
      <c r="AY14" s="61">
        <v>-1.2816000000000001</v>
      </c>
      <c r="AZ14" s="61">
        <v>-1.2515000000000001</v>
      </c>
      <c r="BA14" s="61">
        <v>-1.3420000000000001</v>
      </c>
      <c r="BB14" s="61">
        <v>-1.1642999999999999</v>
      </c>
      <c r="BC14" s="61">
        <v>-0.91320000000000001</v>
      </c>
      <c r="BD14" s="62">
        <v>-1.2864</v>
      </c>
    </row>
    <row r="15" spans="1:56" s="11" customFormat="1" x14ac:dyDescent="0.25">
      <c r="A15" s="63">
        <v>1</v>
      </c>
      <c r="B15" s="63">
        <v>2</v>
      </c>
      <c r="C15" s="63">
        <v>3</v>
      </c>
      <c r="D15" s="63">
        <v>4</v>
      </c>
      <c r="E15" s="63">
        <v>5</v>
      </c>
      <c r="F15" s="63">
        <v>6</v>
      </c>
      <c r="G15" s="63">
        <v>7</v>
      </c>
      <c r="H15" s="63">
        <v>8</v>
      </c>
      <c r="I15" s="63">
        <v>9</v>
      </c>
      <c r="J15" s="63">
        <v>10</v>
      </c>
      <c r="K15" s="63">
        <v>11</v>
      </c>
      <c r="L15" s="63">
        <v>12</v>
      </c>
      <c r="M15" s="63">
        <v>13</v>
      </c>
      <c r="N15" s="63">
        <v>14</v>
      </c>
      <c r="O15" s="63">
        <v>15</v>
      </c>
      <c r="P15" s="63">
        <v>16</v>
      </c>
      <c r="Q15" s="63">
        <v>17</v>
      </c>
      <c r="R15" s="63">
        <v>18</v>
      </c>
      <c r="S15" s="63">
        <v>19</v>
      </c>
      <c r="T15" s="63">
        <v>20</v>
      </c>
      <c r="U15" s="63">
        <v>21</v>
      </c>
      <c r="V15" s="63">
        <v>22</v>
      </c>
      <c r="W15" s="63">
        <v>23</v>
      </c>
      <c r="X15" s="63">
        <v>24</v>
      </c>
      <c r="Y15" s="63">
        <v>25</v>
      </c>
      <c r="Z15" s="63">
        <v>26</v>
      </c>
      <c r="AA15" s="63">
        <v>27</v>
      </c>
      <c r="AB15" s="63">
        <v>28</v>
      </c>
      <c r="AC15" s="63">
        <v>29</v>
      </c>
      <c r="AD15" s="63">
        <v>30</v>
      </c>
      <c r="AE15" s="63">
        <v>31</v>
      </c>
      <c r="AF15" s="63">
        <v>32</v>
      </c>
      <c r="AG15" s="63">
        <v>33</v>
      </c>
      <c r="AH15" s="63">
        <v>34</v>
      </c>
      <c r="AI15" s="63">
        <v>35</v>
      </c>
      <c r="AJ15" s="63">
        <v>36</v>
      </c>
      <c r="AK15" s="63">
        <v>37</v>
      </c>
      <c r="AL15" s="63">
        <v>38</v>
      </c>
      <c r="AM15" s="63">
        <v>39</v>
      </c>
      <c r="AN15" s="63">
        <v>40</v>
      </c>
      <c r="AO15" s="63">
        <v>41</v>
      </c>
      <c r="AP15" s="63">
        <v>42</v>
      </c>
      <c r="AQ15" s="63">
        <v>43</v>
      </c>
      <c r="AR15" s="63">
        <v>44</v>
      </c>
      <c r="AS15" s="63">
        <v>45</v>
      </c>
      <c r="AT15" s="63">
        <v>46</v>
      </c>
      <c r="AU15" s="63">
        <v>47</v>
      </c>
      <c r="AV15" s="63">
        <v>48</v>
      </c>
      <c r="AW15" s="63">
        <v>49</v>
      </c>
      <c r="AX15" s="63">
        <v>50</v>
      </c>
      <c r="AY15" s="63">
        <v>51</v>
      </c>
      <c r="AZ15" s="63">
        <v>52</v>
      </c>
      <c r="BA15" s="63">
        <v>53</v>
      </c>
      <c r="BB15" s="63">
        <v>54</v>
      </c>
      <c r="BC15" s="63">
        <v>55</v>
      </c>
      <c r="BD15" s="63">
        <v>56</v>
      </c>
    </row>
    <row r="16" spans="1:56" s="11" customFormat="1" x14ac:dyDescent="0.25">
      <c r="A16" s="11">
        <v>1</v>
      </c>
      <c r="B16" s="11">
        <v>2</v>
      </c>
      <c r="C16" s="11">
        <v>3</v>
      </c>
      <c r="D16" s="11">
        <v>4</v>
      </c>
      <c r="E16" s="11">
        <v>5</v>
      </c>
      <c r="F16" s="11">
        <v>6</v>
      </c>
      <c r="G16" s="11">
        <v>7</v>
      </c>
      <c r="H16" s="11">
        <v>1</v>
      </c>
      <c r="I16" s="11">
        <v>2</v>
      </c>
      <c r="J16" s="11">
        <v>3</v>
      </c>
      <c r="K16" s="11">
        <v>4</v>
      </c>
      <c r="L16" s="11">
        <v>5</v>
      </c>
      <c r="M16" s="11">
        <v>6</v>
      </c>
      <c r="N16" s="11">
        <v>7</v>
      </c>
      <c r="O16" s="11">
        <v>1</v>
      </c>
      <c r="P16" s="11">
        <v>2</v>
      </c>
      <c r="Q16" s="11">
        <v>3</v>
      </c>
      <c r="R16" s="11">
        <v>4</v>
      </c>
      <c r="S16" s="11">
        <v>5</v>
      </c>
      <c r="T16" s="11">
        <v>6</v>
      </c>
      <c r="U16" s="11">
        <v>7</v>
      </c>
      <c r="V16" s="11">
        <v>1</v>
      </c>
      <c r="W16" s="11">
        <v>2</v>
      </c>
      <c r="X16" s="11">
        <v>3</v>
      </c>
      <c r="Y16" s="11">
        <v>4</v>
      </c>
      <c r="Z16" s="11">
        <v>5</v>
      </c>
      <c r="AA16" s="11">
        <v>6</v>
      </c>
      <c r="AB16" s="11">
        <v>7</v>
      </c>
      <c r="AC16" s="11">
        <v>1</v>
      </c>
      <c r="AD16" s="11">
        <v>2</v>
      </c>
      <c r="AE16" s="11">
        <v>3</v>
      </c>
      <c r="AF16" s="11">
        <v>4</v>
      </c>
      <c r="AG16" s="11">
        <v>5</v>
      </c>
      <c r="AH16" s="11">
        <v>6</v>
      </c>
      <c r="AI16" s="11">
        <v>7</v>
      </c>
      <c r="AJ16" s="11">
        <v>1</v>
      </c>
      <c r="AK16" s="11">
        <v>2</v>
      </c>
      <c r="AL16" s="11">
        <v>3</v>
      </c>
      <c r="AM16" s="11">
        <v>4</v>
      </c>
      <c r="AN16" s="11">
        <v>5</v>
      </c>
      <c r="AO16" s="11">
        <v>6</v>
      </c>
      <c r="AP16" s="11">
        <v>7</v>
      </c>
      <c r="AQ16" s="11">
        <v>1</v>
      </c>
      <c r="AR16" s="11">
        <v>2</v>
      </c>
      <c r="AS16" s="11">
        <v>3</v>
      </c>
      <c r="AT16" s="11">
        <v>4</v>
      </c>
      <c r="AU16" s="11">
        <v>5</v>
      </c>
      <c r="AV16" s="11">
        <v>6</v>
      </c>
      <c r="AW16" s="11">
        <v>7</v>
      </c>
      <c r="AX16" s="11">
        <v>1</v>
      </c>
      <c r="AY16" s="11">
        <v>2</v>
      </c>
      <c r="AZ16" s="11">
        <v>3</v>
      </c>
      <c r="BA16" s="11">
        <v>4</v>
      </c>
      <c r="BB16" s="11">
        <v>5</v>
      </c>
      <c r="BC16" s="11">
        <v>6</v>
      </c>
      <c r="BD16" s="11">
        <v>7</v>
      </c>
    </row>
    <row r="17" spans="1:56" x14ac:dyDescent="0.25">
      <c r="A17" s="113" t="s">
        <v>150</v>
      </c>
      <c r="B17" s="113"/>
      <c r="C17" s="113"/>
      <c r="D17" s="113"/>
      <c r="E17" s="113"/>
      <c r="F17" s="113"/>
      <c r="G17" s="113"/>
      <c r="H17" s="115" t="s">
        <v>151</v>
      </c>
      <c r="I17" s="115"/>
      <c r="J17" s="115"/>
      <c r="K17" s="115"/>
      <c r="L17" s="115"/>
      <c r="M17" s="115"/>
      <c r="N17" s="115"/>
      <c r="O17" s="116" t="s">
        <v>152</v>
      </c>
      <c r="P17" s="117"/>
      <c r="Q17" s="117"/>
      <c r="R17" s="117"/>
      <c r="S17" s="117"/>
      <c r="T17" s="117"/>
      <c r="U17" s="118"/>
      <c r="V17" s="115" t="s">
        <v>153</v>
      </c>
      <c r="W17" s="115"/>
      <c r="X17" s="115"/>
      <c r="Y17" s="115"/>
      <c r="Z17" s="115"/>
      <c r="AA17" s="115"/>
      <c r="AB17" s="115"/>
      <c r="AC17" s="116" t="s">
        <v>154</v>
      </c>
      <c r="AD17" s="117"/>
      <c r="AE17" s="117"/>
      <c r="AF17" s="117"/>
      <c r="AG17" s="117"/>
      <c r="AH17" s="117"/>
      <c r="AI17" s="118"/>
      <c r="AJ17" s="119" t="s">
        <v>156</v>
      </c>
      <c r="AK17" s="120"/>
      <c r="AL17" s="120"/>
      <c r="AM17" s="120"/>
      <c r="AN17" s="120"/>
      <c r="AO17" s="120"/>
      <c r="AP17" s="121"/>
      <c r="AQ17" s="116" t="s">
        <v>155</v>
      </c>
      <c r="AR17" s="117"/>
      <c r="AS17" s="117"/>
      <c r="AT17" s="117"/>
      <c r="AU17" s="117"/>
      <c r="AV17" s="117"/>
      <c r="AW17" s="118"/>
      <c r="AX17" s="119" t="s">
        <v>157</v>
      </c>
      <c r="AY17" s="120"/>
      <c r="AZ17" s="120"/>
      <c r="BA17" s="120"/>
      <c r="BB17" s="120"/>
      <c r="BC17" s="120"/>
      <c r="BD17" s="121"/>
    </row>
    <row r="18" spans="1:56" x14ac:dyDescent="0.25">
      <c r="A18" s="58">
        <f>A14-$A$14</f>
        <v>0</v>
      </c>
      <c r="B18" s="58">
        <f t="shared" ref="B18:G18" si="0">B14-$A$14</f>
        <v>-0.14279999999999998</v>
      </c>
      <c r="C18" s="58">
        <f>C14-$A$14</f>
        <v>-9.8000000000000032E-2</v>
      </c>
      <c r="D18" s="58">
        <f t="shared" si="0"/>
        <v>0.69740000000000002</v>
      </c>
      <c r="E18" s="58">
        <f t="shared" si="0"/>
        <v>-0.41699999999999998</v>
      </c>
      <c r="F18" s="58">
        <f t="shared" si="0"/>
        <v>0.44069999999999998</v>
      </c>
      <c r="G18" s="58">
        <f t="shared" si="0"/>
        <v>-0.52059999999999995</v>
      </c>
      <c r="H18" s="59">
        <f>H14-$H$14</f>
        <v>0</v>
      </c>
      <c r="I18" s="59">
        <f t="shared" ref="I18:M18" si="1">I14-$H$14</f>
        <v>2.3799999999999988E-2</v>
      </c>
      <c r="J18" s="59">
        <f t="shared" si="1"/>
        <v>-0.34229999999999994</v>
      </c>
      <c r="K18" s="59">
        <f t="shared" si="1"/>
        <v>0.64080000000000004</v>
      </c>
      <c r="L18" s="59">
        <f t="shared" si="1"/>
        <v>-6.409999999999999E-2</v>
      </c>
      <c r="M18" s="59">
        <f t="shared" si="1"/>
        <v>0.17979999999999999</v>
      </c>
      <c r="N18" s="59">
        <f>N14-$H$14</f>
        <v>-0.54879999999999995</v>
      </c>
      <c r="O18" s="58">
        <f>O14-$O$14</f>
        <v>0</v>
      </c>
      <c r="P18" s="58">
        <f t="shared" ref="P18:U18" si="2">P14-$O$14</f>
        <v>-0.3587999999999999</v>
      </c>
      <c r="Q18" s="58">
        <f t="shared" si="2"/>
        <v>-0.32209999999999994</v>
      </c>
      <c r="R18" s="58">
        <f t="shared" si="2"/>
        <v>-0.39940000000000009</v>
      </c>
      <c r="S18" s="58">
        <f t="shared" si="2"/>
        <v>-0.36429999999999996</v>
      </c>
      <c r="T18" s="58">
        <f t="shared" si="2"/>
        <v>-0.32259999999999989</v>
      </c>
      <c r="U18" s="58">
        <f t="shared" si="2"/>
        <v>-2.6900000000000035E-2</v>
      </c>
      <c r="V18" s="59">
        <f t="shared" ref="V18:AB18" si="3">V14-$V$14</f>
        <v>0</v>
      </c>
      <c r="W18" s="59">
        <f t="shared" si="3"/>
        <v>0.14179999999999993</v>
      </c>
      <c r="X18" s="59">
        <f t="shared" si="3"/>
        <v>-0.16810000000000003</v>
      </c>
      <c r="Y18" s="59">
        <f t="shared" si="3"/>
        <v>0.72819999999999996</v>
      </c>
      <c r="Z18" s="59">
        <f t="shared" si="3"/>
        <v>-0.38990000000000002</v>
      </c>
      <c r="AA18" s="59">
        <f t="shared" si="3"/>
        <v>-0.19310000000000005</v>
      </c>
      <c r="AB18" s="59">
        <f t="shared" si="3"/>
        <v>-0.29770000000000008</v>
      </c>
      <c r="AC18" s="58">
        <f t="shared" ref="AC18:AI18" si="4">AC14-$AC$14</f>
        <v>0</v>
      </c>
      <c r="AD18" s="58">
        <f t="shared" si="4"/>
        <v>-0.13999999999999996</v>
      </c>
      <c r="AE18" s="58">
        <f t="shared" si="4"/>
        <v>-0.29939999999999994</v>
      </c>
      <c r="AF18" s="58">
        <f t="shared" si="4"/>
        <v>-0.71870000000000012</v>
      </c>
      <c r="AG18" s="58">
        <f t="shared" si="4"/>
        <v>-0.15260000000000001</v>
      </c>
      <c r="AH18" s="58">
        <f t="shared" si="4"/>
        <v>-0.65559999999999996</v>
      </c>
      <c r="AI18" s="58">
        <f t="shared" si="4"/>
        <v>-0.6976</v>
      </c>
      <c r="AJ18" s="59">
        <f t="shared" ref="AJ18:AP18" si="5">AJ14-$AJ$14</f>
        <v>0</v>
      </c>
      <c r="AK18" s="59">
        <f t="shared" si="5"/>
        <v>0.15360000000000007</v>
      </c>
      <c r="AL18" s="59">
        <f t="shared" si="5"/>
        <v>0.1331</v>
      </c>
      <c r="AM18" s="59">
        <f t="shared" si="5"/>
        <v>0.54780000000000006</v>
      </c>
      <c r="AN18" s="59">
        <f t="shared" si="5"/>
        <v>-0.12599999999999989</v>
      </c>
      <c r="AO18" s="59">
        <f t="shared" si="5"/>
        <v>0.41520000000000001</v>
      </c>
      <c r="AP18" s="59">
        <f t="shared" si="5"/>
        <v>0.10199999999999998</v>
      </c>
      <c r="AQ18" s="58">
        <f t="shared" ref="AQ18:AW18" si="6">AQ14-$AQ$14</f>
        <v>0</v>
      </c>
      <c r="AR18" s="58">
        <f t="shared" si="6"/>
        <v>0.39410000000000001</v>
      </c>
      <c r="AS18" s="58">
        <f t="shared" si="6"/>
        <v>7.1599999999999997E-2</v>
      </c>
      <c r="AT18" s="58">
        <f t="shared" si="6"/>
        <v>0.36480000000000001</v>
      </c>
      <c r="AU18" s="58">
        <f t="shared" si="6"/>
        <v>0.23170000000000002</v>
      </c>
      <c r="AV18" s="58">
        <f t="shared" si="6"/>
        <v>9.1799999999999993E-2</v>
      </c>
      <c r="AW18" s="58">
        <f t="shared" si="6"/>
        <v>0.42710000000000004</v>
      </c>
      <c r="AX18" s="59">
        <f t="shared" ref="AX18:BD18" si="7">AX14-$AX$14</f>
        <v>0</v>
      </c>
      <c r="AY18" s="59">
        <f t="shared" si="7"/>
        <v>-1.660000000000017E-2</v>
      </c>
      <c r="AZ18" s="59">
        <f t="shared" si="7"/>
        <v>1.3499999999999845E-2</v>
      </c>
      <c r="BA18" s="59">
        <f t="shared" si="7"/>
        <v>-7.7000000000000179E-2</v>
      </c>
      <c r="BB18" s="59">
        <f t="shared" si="7"/>
        <v>0.10070000000000001</v>
      </c>
      <c r="BC18" s="59">
        <f t="shared" si="7"/>
        <v>0.35179999999999989</v>
      </c>
      <c r="BD18" s="59">
        <f t="shared" si="7"/>
        <v>-2.1400000000000086E-2</v>
      </c>
    </row>
    <row r="19" spans="1:56" x14ac:dyDescent="0.25">
      <c r="A19" s="58">
        <f>A14-$B$14</f>
        <v>0.14279999999999998</v>
      </c>
      <c r="B19" s="58">
        <f t="shared" ref="B19:G19" si="8">B14-$B$14</f>
        <v>0</v>
      </c>
      <c r="C19" s="58">
        <f t="shared" si="8"/>
        <v>4.4799999999999951E-2</v>
      </c>
      <c r="D19" s="58">
        <f t="shared" si="8"/>
        <v>0.84019999999999995</v>
      </c>
      <c r="E19" s="58">
        <f t="shared" si="8"/>
        <v>-0.2742</v>
      </c>
      <c r="F19" s="58">
        <f>F14-$B$14</f>
        <v>0.58349999999999991</v>
      </c>
      <c r="G19" s="58">
        <f t="shared" si="8"/>
        <v>-0.37780000000000002</v>
      </c>
      <c r="H19" s="59">
        <f>H14-$I$14</f>
        <v>-2.3799999999999988E-2</v>
      </c>
      <c r="I19" s="59">
        <f t="shared" ref="I19:N19" si="9">I14-$I$14</f>
        <v>0</v>
      </c>
      <c r="J19" s="59">
        <f t="shared" si="9"/>
        <v>-0.36609999999999998</v>
      </c>
      <c r="K19" s="59">
        <f t="shared" si="9"/>
        <v>0.61699999999999999</v>
      </c>
      <c r="L19" s="59">
        <f t="shared" si="9"/>
        <v>-8.7899999999999978E-2</v>
      </c>
      <c r="M19" s="59">
        <f t="shared" si="9"/>
        <v>0.156</v>
      </c>
      <c r="N19" s="59">
        <f t="shared" si="9"/>
        <v>-0.5726</v>
      </c>
      <c r="O19" s="58">
        <f>O14-$P$14</f>
        <v>0.3587999999999999</v>
      </c>
      <c r="P19" s="58">
        <f t="shared" ref="P19:U19" si="10">P14-$P$14</f>
        <v>0</v>
      </c>
      <c r="Q19" s="58">
        <f t="shared" si="10"/>
        <v>3.6699999999999955E-2</v>
      </c>
      <c r="R19" s="58">
        <f t="shared" si="10"/>
        <v>-4.0600000000000191E-2</v>
      </c>
      <c r="S19" s="58">
        <f t="shared" si="10"/>
        <v>-5.5000000000000604E-3</v>
      </c>
      <c r="T19" s="58">
        <f t="shared" si="10"/>
        <v>3.620000000000001E-2</v>
      </c>
      <c r="U19" s="58">
        <f t="shared" si="10"/>
        <v>0.33189999999999986</v>
      </c>
      <c r="V19" s="59">
        <f t="shared" ref="V19:AB19" si="11">V14-$W$14</f>
        <v>-0.14179999999999993</v>
      </c>
      <c r="W19" s="59">
        <f t="shared" si="11"/>
        <v>0</v>
      </c>
      <c r="X19" s="59">
        <f t="shared" si="11"/>
        <v>-0.30989999999999995</v>
      </c>
      <c r="Y19" s="59">
        <f t="shared" si="11"/>
        <v>0.58640000000000003</v>
      </c>
      <c r="Z19" s="59">
        <f t="shared" si="11"/>
        <v>-0.53169999999999995</v>
      </c>
      <c r="AA19" s="59">
        <f t="shared" si="11"/>
        <v>-0.33489999999999998</v>
      </c>
      <c r="AB19" s="59">
        <f t="shared" si="11"/>
        <v>-0.4395</v>
      </c>
      <c r="AC19" s="58">
        <f t="shared" ref="AC19:AI19" si="12">AC14-$AD$14</f>
        <v>0.13999999999999996</v>
      </c>
      <c r="AD19" s="58">
        <f t="shared" si="12"/>
        <v>0</v>
      </c>
      <c r="AE19" s="58">
        <f t="shared" si="12"/>
        <v>-0.15939999999999999</v>
      </c>
      <c r="AF19" s="58">
        <f t="shared" si="12"/>
        <v>-0.5787000000000001</v>
      </c>
      <c r="AG19" s="58">
        <f t="shared" si="12"/>
        <v>-1.2600000000000056E-2</v>
      </c>
      <c r="AH19" s="58">
        <f t="shared" si="12"/>
        <v>-0.51559999999999995</v>
      </c>
      <c r="AI19" s="58">
        <f t="shared" si="12"/>
        <v>-0.55759999999999998</v>
      </c>
      <c r="AJ19" s="59">
        <f t="shared" ref="AJ19:AP19" si="13">AJ14-$AK$14</f>
        <v>-0.15360000000000007</v>
      </c>
      <c r="AK19" s="59">
        <f t="shared" si="13"/>
        <v>0</v>
      </c>
      <c r="AL19" s="59">
        <f t="shared" si="13"/>
        <v>-2.0500000000000074E-2</v>
      </c>
      <c r="AM19" s="59">
        <f t="shared" si="13"/>
        <v>0.39419999999999999</v>
      </c>
      <c r="AN19" s="59">
        <f t="shared" si="13"/>
        <v>-0.27959999999999996</v>
      </c>
      <c r="AO19" s="59">
        <f t="shared" si="13"/>
        <v>0.26159999999999994</v>
      </c>
      <c r="AP19" s="59">
        <f t="shared" si="13"/>
        <v>-5.160000000000009E-2</v>
      </c>
      <c r="AQ19" s="58">
        <f t="shared" ref="AQ19:AW19" si="14">AQ14-$AR$14</f>
        <v>-0.39410000000000001</v>
      </c>
      <c r="AR19" s="58">
        <f t="shared" si="14"/>
        <v>0</v>
      </c>
      <c r="AS19" s="58">
        <f t="shared" si="14"/>
        <v>-0.32250000000000001</v>
      </c>
      <c r="AT19" s="58">
        <f t="shared" si="14"/>
        <v>-2.9299999999999993E-2</v>
      </c>
      <c r="AU19" s="58">
        <f t="shared" si="14"/>
        <v>-0.16239999999999999</v>
      </c>
      <c r="AV19" s="58">
        <f t="shared" si="14"/>
        <v>-0.30230000000000001</v>
      </c>
      <c r="AW19" s="58">
        <f t="shared" si="14"/>
        <v>3.3000000000000029E-2</v>
      </c>
      <c r="AX19" s="59">
        <f t="shared" ref="AX19:BD19" si="15">AX14-$AY$14</f>
        <v>1.660000000000017E-2</v>
      </c>
      <c r="AY19" s="59">
        <f t="shared" si="15"/>
        <v>0</v>
      </c>
      <c r="AZ19" s="59">
        <f t="shared" si="15"/>
        <v>3.0100000000000016E-2</v>
      </c>
      <c r="BA19" s="59">
        <f t="shared" si="15"/>
        <v>-6.0400000000000009E-2</v>
      </c>
      <c r="BB19" s="59">
        <f t="shared" si="15"/>
        <v>0.11730000000000018</v>
      </c>
      <c r="BC19" s="59">
        <f t="shared" si="15"/>
        <v>0.36840000000000006</v>
      </c>
      <c r="BD19" s="59">
        <f t="shared" si="15"/>
        <v>-4.7999999999999154E-3</v>
      </c>
    </row>
    <row r="20" spans="1:56" x14ac:dyDescent="0.25">
      <c r="A20" s="58">
        <f>A14-$C$14</f>
        <v>9.8000000000000032E-2</v>
      </c>
      <c r="B20" s="58">
        <f t="shared" ref="B20:G20" si="16">B14-$C$14</f>
        <v>-4.4799999999999951E-2</v>
      </c>
      <c r="C20" s="58">
        <f t="shared" si="16"/>
        <v>0</v>
      </c>
      <c r="D20" s="58">
        <f t="shared" si="16"/>
        <v>0.7954</v>
      </c>
      <c r="E20" s="58">
        <f t="shared" si="16"/>
        <v>-0.31899999999999995</v>
      </c>
      <c r="F20" s="58">
        <f t="shared" si="16"/>
        <v>0.53869999999999996</v>
      </c>
      <c r="G20" s="58">
        <f t="shared" si="16"/>
        <v>-0.42259999999999998</v>
      </c>
      <c r="H20" s="59">
        <f>H14-$J$14</f>
        <v>0.34229999999999994</v>
      </c>
      <c r="I20" s="59">
        <f t="shared" ref="I20:N20" si="17">I14-$J$14</f>
        <v>0.36609999999999998</v>
      </c>
      <c r="J20" s="59">
        <f t="shared" si="17"/>
        <v>0</v>
      </c>
      <c r="K20" s="59">
        <f t="shared" si="17"/>
        <v>0.98309999999999997</v>
      </c>
      <c r="L20" s="59">
        <f t="shared" si="17"/>
        <v>0.2782</v>
      </c>
      <c r="M20" s="59">
        <f t="shared" si="17"/>
        <v>0.52210000000000001</v>
      </c>
      <c r="N20" s="59">
        <f t="shared" si="17"/>
        <v>-0.20650000000000002</v>
      </c>
      <c r="O20" s="58">
        <f>O14-$Q$14</f>
        <v>0.32209999999999994</v>
      </c>
      <c r="P20" s="58">
        <f t="shared" ref="P20:U20" si="18">P14-$Q$14</f>
        <v>-3.6699999999999955E-2</v>
      </c>
      <c r="Q20" s="58">
        <f t="shared" si="18"/>
        <v>0</v>
      </c>
      <c r="R20" s="58">
        <f>R14-$Q$14</f>
        <v>-7.7300000000000146E-2</v>
      </c>
      <c r="S20" s="58">
        <f t="shared" si="18"/>
        <v>-4.2200000000000015E-2</v>
      </c>
      <c r="T20" s="58">
        <f t="shared" si="18"/>
        <v>-4.9999999999994493E-4</v>
      </c>
      <c r="U20" s="58">
        <f t="shared" si="18"/>
        <v>0.29519999999999991</v>
      </c>
      <c r="V20" s="59">
        <f t="shared" ref="V20:AB20" si="19">V14-$X$14</f>
        <v>0.16810000000000003</v>
      </c>
      <c r="W20" s="59">
        <f t="shared" si="19"/>
        <v>0.30989999999999995</v>
      </c>
      <c r="X20" s="59">
        <f t="shared" si="19"/>
        <v>0</v>
      </c>
      <c r="Y20" s="59">
        <f t="shared" si="19"/>
        <v>0.89629999999999999</v>
      </c>
      <c r="Z20" s="59">
        <f t="shared" si="19"/>
        <v>-0.2218</v>
      </c>
      <c r="AA20" s="59">
        <f t="shared" si="19"/>
        <v>-2.5000000000000022E-2</v>
      </c>
      <c r="AB20" s="59">
        <f t="shared" si="19"/>
        <v>-0.12960000000000005</v>
      </c>
      <c r="AC20" s="58">
        <f t="shared" ref="AC20:AI20" si="20">AC14-$AE$14</f>
        <v>0.29939999999999994</v>
      </c>
      <c r="AD20" s="58">
        <f t="shared" si="20"/>
        <v>0.15939999999999999</v>
      </c>
      <c r="AE20" s="58">
        <f t="shared" si="20"/>
        <v>0</v>
      </c>
      <c r="AF20" s="58">
        <f t="shared" si="20"/>
        <v>-0.41930000000000012</v>
      </c>
      <c r="AG20" s="58">
        <f t="shared" si="20"/>
        <v>0.14679999999999993</v>
      </c>
      <c r="AH20" s="58">
        <f t="shared" si="20"/>
        <v>-0.35619999999999996</v>
      </c>
      <c r="AI20" s="58">
        <f t="shared" si="20"/>
        <v>-0.3982</v>
      </c>
      <c r="AJ20" s="59">
        <f t="shared" ref="AJ20:AP20" si="21">AJ14-$AL$14</f>
        <v>-0.1331</v>
      </c>
      <c r="AK20" s="59">
        <f t="shared" si="21"/>
        <v>2.0500000000000074E-2</v>
      </c>
      <c r="AL20" s="59">
        <f t="shared" si="21"/>
        <v>0</v>
      </c>
      <c r="AM20" s="59">
        <f t="shared" si="21"/>
        <v>0.41470000000000007</v>
      </c>
      <c r="AN20" s="59">
        <f t="shared" si="21"/>
        <v>-0.25909999999999989</v>
      </c>
      <c r="AO20" s="59">
        <f t="shared" si="21"/>
        <v>0.28210000000000002</v>
      </c>
      <c r="AP20" s="59">
        <f t="shared" si="21"/>
        <v>-3.1100000000000017E-2</v>
      </c>
      <c r="AQ20" s="58">
        <f t="shared" ref="AQ20:AW20" si="22">AQ14-$AS$14</f>
        <v>-7.1599999999999997E-2</v>
      </c>
      <c r="AR20" s="58">
        <f t="shared" si="22"/>
        <v>0.32250000000000001</v>
      </c>
      <c r="AS20" s="58">
        <f t="shared" si="22"/>
        <v>0</v>
      </c>
      <c r="AT20" s="58">
        <f t="shared" si="22"/>
        <v>0.29320000000000002</v>
      </c>
      <c r="AU20" s="58">
        <f t="shared" si="22"/>
        <v>0.16010000000000002</v>
      </c>
      <c r="AV20" s="58">
        <f t="shared" si="22"/>
        <v>2.0199999999999996E-2</v>
      </c>
      <c r="AW20" s="58">
        <f t="shared" si="22"/>
        <v>0.35550000000000004</v>
      </c>
      <c r="AX20" s="59">
        <f t="shared" ref="AX20:BD20" si="23">AX14-$AZ$14</f>
        <v>-1.3499999999999845E-2</v>
      </c>
      <c r="AY20" s="59">
        <f t="shared" si="23"/>
        <v>-3.0100000000000016E-2</v>
      </c>
      <c r="AZ20" s="59">
        <f t="shared" si="23"/>
        <v>0</v>
      </c>
      <c r="BA20" s="59">
        <f t="shared" si="23"/>
        <v>-9.0500000000000025E-2</v>
      </c>
      <c r="BB20" s="59">
        <f t="shared" si="23"/>
        <v>8.7200000000000166E-2</v>
      </c>
      <c r="BC20" s="59">
        <f t="shared" si="23"/>
        <v>0.33830000000000005</v>
      </c>
      <c r="BD20" s="59">
        <f t="shared" si="23"/>
        <v>-3.4899999999999931E-2</v>
      </c>
    </row>
    <row r="21" spans="1:56" x14ac:dyDescent="0.25">
      <c r="A21" s="58">
        <f>A14-$D$14</f>
        <v>-0.69740000000000002</v>
      </c>
      <c r="B21" s="58">
        <f t="shared" ref="B21:G21" si="24">B14-$D$14</f>
        <v>-0.84019999999999995</v>
      </c>
      <c r="C21" s="58">
        <f t="shared" si="24"/>
        <v>-0.7954</v>
      </c>
      <c r="D21" s="58">
        <f t="shared" si="24"/>
        <v>0</v>
      </c>
      <c r="E21" s="58">
        <f t="shared" si="24"/>
        <v>-1.1144000000000001</v>
      </c>
      <c r="F21" s="58">
        <f t="shared" si="24"/>
        <v>-0.25670000000000004</v>
      </c>
      <c r="G21" s="58">
        <f t="shared" si="24"/>
        <v>-1.218</v>
      </c>
      <c r="H21" s="59">
        <f>H14-$K$14</f>
        <v>-0.64080000000000004</v>
      </c>
      <c r="I21" s="59">
        <f t="shared" ref="I21:N21" si="25">I14-$K$14</f>
        <v>-0.61699999999999999</v>
      </c>
      <c r="J21" s="59">
        <f t="shared" si="25"/>
        <v>-0.98309999999999997</v>
      </c>
      <c r="K21" s="59">
        <f t="shared" si="25"/>
        <v>0</v>
      </c>
      <c r="L21" s="59">
        <f t="shared" si="25"/>
        <v>-0.70489999999999997</v>
      </c>
      <c r="M21" s="59">
        <f t="shared" si="25"/>
        <v>-0.46100000000000002</v>
      </c>
      <c r="N21" s="59">
        <f t="shared" si="25"/>
        <v>-1.1896</v>
      </c>
      <c r="O21" s="58">
        <f>O14-$R$14</f>
        <v>0.39940000000000009</v>
      </c>
      <c r="P21" s="58">
        <f t="shared" ref="P21:U21" si="26">P14-$R$14</f>
        <v>4.0600000000000191E-2</v>
      </c>
      <c r="Q21" s="58">
        <f t="shared" si="26"/>
        <v>7.7300000000000146E-2</v>
      </c>
      <c r="R21" s="58">
        <f t="shared" si="26"/>
        <v>0</v>
      </c>
      <c r="S21" s="58">
        <f t="shared" si="26"/>
        <v>3.5100000000000131E-2</v>
      </c>
      <c r="T21" s="58">
        <f>T14-$R$14</f>
        <v>7.6800000000000201E-2</v>
      </c>
      <c r="U21" s="58">
        <f t="shared" si="26"/>
        <v>0.37250000000000005</v>
      </c>
      <c r="V21" s="59">
        <f t="shared" ref="V21:AB21" si="27">V14-$Y$14</f>
        <v>-0.72819999999999996</v>
      </c>
      <c r="W21" s="59">
        <f t="shared" si="27"/>
        <v>-0.58640000000000003</v>
      </c>
      <c r="X21" s="59">
        <f t="shared" si="27"/>
        <v>-0.89629999999999999</v>
      </c>
      <c r="Y21" s="59">
        <f t="shared" si="27"/>
        <v>0</v>
      </c>
      <c r="Z21" s="59">
        <f t="shared" si="27"/>
        <v>-1.1181000000000001</v>
      </c>
      <c r="AA21" s="59">
        <f t="shared" si="27"/>
        <v>-0.92130000000000001</v>
      </c>
      <c r="AB21" s="59">
        <f t="shared" si="27"/>
        <v>-1.0259</v>
      </c>
      <c r="AC21" s="58">
        <f t="shared" ref="AC21:AI21" si="28">AC14-$AF$14</f>
        <v>0.71870000000000012</v>
      </c>
      <c r="AD21" s="58">
        <f t="shared" si="28"/>
        <v>0.5787000000000001</v>
      </c>
      <c r="AE21" s="58">
        <f t="shared" si="28"/>
        <v>0.41930000000000012</v>
      </c>
      <c r="AF21" s="58">
        <f t="shared" si="28"/>
        <v>0</v>
      </c>
      <c r="AG21" s="58">
        <f t="shared" si="28"/>
        <v>0.56610000000000005</v>
      </c>
      <c r="AH21" s="58">
        <f t="shared" si="28"/>
        <v>6.3100000000000156E-2</v>
      </c>
      <c r="AI21" s="58">
        <f t="shared" si="28"/>
        <v>2.1100000000000119E-2</v>
      </c>
      <c r="AJ21" s="59">
        <f t="shared" ref="AJ21:AP21" si="29">AJ14-$AM$14</f>
        <v>-0.54780000000000006</v>
      </c>
      <c r="AK21" s="59">
        <f t="shared" si="29"/>
        <v>-0.39419999999999999</v>
      </c>
      <c r="AL21" s="59">
        <f t="shared" si="29"/>
        <v>-0.41470000000000007</v>
      </c>
      <c r="AM21" s="59">
        <f t="shared" si="29"/>
        <v>0</v>
      </c>
      <c r="AN21" s="59">
        <f t="shared" si="29"/>
        <v>-0.67379999999999995</v>
      </c>
      <c r="AO21" s="59">
        <f t="shared" si="29"/>
        <v>-0.13260000000000005</v>
      </c>
      <c r="AP21" s="59">
        <f t="shared" si="29"/>
        <v>-0.44580000000000009</v>
      </c>
      <c r="AQ21" s="58">
        <f t="shared" ref="AQ21:AW21" si="30">AQ14-$AT$14</f>
        <v>-0.36480000000000001</v>
      </c>
      <c r="AR21" s="58">
        <f t="shared" si="30"/>
        <v>2.9299999999999993E-2</v>
      </c>
      <c r="AS21" s="58">
        <f t="shared" si="30"/>
        <v>-0.29320000000000002</v>
      </c>
      <c r="AT21" s="58">
        <f t="shared" si="30"/>
        <v>0</v>
      </c>
      <c r="AU21" s="58">
        <f t="shared" si="30"/>
        <v>-0.1331</v>
      </c>
      <c r="AV21" s="58">
        <f t="shared" si="30"/>
        <v>-0.27300000000000002</v>
      </c>
      <c r="AW21" s="58">
        <f t="shared" si="30"/>
        <v>6.2300000000000022E-2</v>
      </c>
      <c r="AX21" s="59">
        <f t="shared" ref="AX21:BD21" si="31">AX14-$BA$14</f>
        <v>7.7000000000000179E-2</v>
      </c>
      <c r="AY21" s="59">
        <f t="shared" si="31"/>
        <v>6.0400000000000009E-2</v>
      </c>
      <c r="AZ21" s="59">
        <f t="shared" si="31"/>
        <v>9.0500000000000025E-2</v>
      </c>
      <c r="BA21" s="59">
        <f t="shared" si="31"/>
        <v>0</v>
      </c>
      <c r="BB21" s="59">
        <f t="shared" si="31"/>
        <v>0.17770000000000019</v>
      </c>
      <c r="BC21" s="59">
        <f t="shared" si="31"/>
        <v>0.42880000000000007</v>
      </c>
      <c r="BD21" s="59">
        <f t="shared" si="31"/>
        <v>5.5600000000000094E-2</v>
      </c>
    </row>
    <row r="22" spans="1:56" x14ac:dyDescent="0.25">
      <c r="A22" s="58">
        <f>A14-$E$14</f>
        <v>0.41699999999999998</v>
      </c>
      <c r="B22" s="58">
        <f t="shared" ref="B22:G22" si="32">B14-$E$14</f>
        <v>0.2742</v>
      </c>
      <c r="C22" s="58">
        <f t="shared" si="32"/>
        <v>0.31899999999999995</v>
      </c>
      <c r="D22" s="58">
        <f t="shared" si="32"/>
        <v>1.1144000000000001</v>
      </c>
      <c r="E22" s="58">
        <f t="shared" si="32"/>
        <v>0</v>
      </c>
      <c r="F22" s="58">
        <f t="shared" si="32"/>
        <v>0.85769999999999991</v>
      </c>
      <c r="G22" s="58">
        <f t="shared" si="32"/>
        <v>-0.10360000000000003</v>
      </c>
      <c r="H22" s="59">
        <f>H14-$L$14</f>
        <v>6.409999999999999E-2</v>
      </c>
      <c r="I22" s="59">
        <f t="shared" ref="I22:N22" si="33">I14-$L$14</f>
        <v>8.7899999999999978E-2</v>
      </c>
      <c r="J22" s="59">
        <f t="shared" si="33"/>
        <v>-0.2782</v>
      </c>
      <c r="K22" s="59">
        <f t="shared" si="33"/>
        <v>0.70489999999999997</v>
      </c>
      <c r="L22" s="59">
        <f t="shared" si="33"/>
        <v>0</v>
      </c>
      <c r="M22" s="59">
        <f t="shared" si="33"/>
        <v>0.24389999999999998</v>
      </c>
      <c r="N22" s="59">
        <f t="shared" si="33"/>
        <v>-0.48470000000000002</v>
      </c>
      <c r="O22" s="58">
        <f>O14-$S$14</f>
        <v>0.36429999999999996</v>
      </c>
      <c r="P22" s="58">
        <f t="shared" ref="P22:T22" si="34">P14-$S$14</f>
        <v>5.5000000000000604E-3</v>
      </c>
      <c r="Q22" s="58">
        <f t="shared" si="34"/>
        <v>4.2200000000000015E-2</v>
      </c>
      <c r="R22" s="58">
        <f t="shared" si="34"/>
        <v>-3.5100000000000131E-2</v>
      </c>
      <c r="S22" s="58">
        <f t="shared" si="34"/>
        <v>0</v>
      </c>
      <c r="T22" s="58">
        <f t="shared" si="34"/>
        <v>4.170000000000007E-2</v>
      </c>
      <c r="U22" s="58">
        <f>U14-$S$14</f>
        <v>0.33739999999999992</v>
      </c>
      <c r="V22" s="59">
        <f t="shared" ref="V22:AB22" si="35">V14-$Z$14</f>
        <v>0.38990000000000002</v>
      </c>
      <c r="W22" s="59">
        <f t="shared" si="35"/>
        <v>0.53169999999999995</v>
      </c>
      <c r="X22" s="59">
        <f t="shared" si="35"/>
        <v>0.2218</v>
      </c>
      <c r="Y22" s="59">
        <f t="shared" si="35"/>
        <v>1.1181000000000001</v>
      </c>
      <c r="Z22" s="59">
        <f t="shared" si="35"/>
        <v>0</v>
      </c>
      <c r="AA22" s="59">
        <f t="shared" si="35"/>
        <v>0.19679999999999997</v>
      </c>
      <c r="AB22" s="59">
        <f t="shared" si="35"/>
        <v>9.2199999999999949E-2</v>
      </c>
      <c r="AC22" s="58">
        <f t="shared" ref="AC22:AI22" si="36">AC14-$AG$14</f>
        <v>0.15260000000000001</v>
      </c>
      <c r="AD22" s="58">
        <f t="shared" si="36"/>
        <v>1.2600000000000056E-2</v>
      </c>
      <c r="AE22" s="58">
        <f t="shared" si="36"/>
        <v>-0.14679999999999993</v>
      </c>
      <c r="AF22" s="58">
        <f t="shared" si="36"/>
        <v>-0.56610000000000005</v>
      </c>
      <c r="AG22" s="58">
        <f t="shared" si="36"/>
        <v>0</v>
      </c>
      <c r="AH22" s="58">
        <f t="shared" si="36"/>
        <v>-0.50299999999999989</v>
      </c>
      <c r="AI22" s="58">
        <f t="shared" si="36"/>
        <v>-0.54499999999999993</v>
      </c>
      <c r="AJ22" s="59">
        <f t="shared" ref="AJ22:AP22" si="37">AJ14-$AN$14</f>
        <v>0.12599999999999989</v>
      </c>
      <c r="AK22" s="59">
        <f t="shared" si="37"/>
        <v>0.27959999999999996</v>
      </c>
      <c r="AL22" s="59">
        <f t="shared" si="37"/>
        <v>0.25909999999999989</v>
      </c>
      <c r="AM22" s="59">
        <f t="shared" si="37"/>
        <v>0.67379999999999995</v>
      </c>
      <c r="AN22" s="59">
        <f t="shared" si="37"/>
        <v>0</v>
      </c>
      <c r="AO22" s="59">
        <f t="shared" si="37"/>
        <v>0.5411999999999999</v>
      </c>
      <c r="AP22" s="59">
        <f t="shared" si="37"/>
        <v>0.22799999999999987</v>
      </c>
      <c r="AQ22" s="58">
        <f t="shared" ref="AQ22:AW22" si="38">AQ14-$AU$14</f>
        <v>-0.23170000000000002</v>
      </c>
      <c r="AR22" s="58">
        <f t="shared" si="38"/>
        <v>0.16239999999999999</v>
      </c>
      <c r="AS22" s="58">
        <f t="shared" si="38"/>
        <v>-0.16010000000000002</v>
      </c>
      <c r="AT22" s="58">
        <f t="shared" si="38"/>
        <v>0.1331</v>
      </c>
      <c r="AU22" s="58">
        <f t="shared" si="38"/>
        <v>0</v>
      </c>
      <c r="AV22" s="58">
        <f t="shared" si="38"/>
        <v>-0.13990000000000002</v>
      </c>
      <c r="AW22" s="58">
        <f t="shared" si="38"/>
        <v>0.19540000000000002</v>
      </c>
      <c r="AX22" s="59">
        <f t="shared" ref="AX22:BD22" si="39">AX14-$BB$14</f>
        <v>-0.10070000000000001</v>
      </c>
      <c r="AY22" s="59">
        <f t="shared" si="39"/>
        <v>-0.11730000000000018</v>
      </c>
      <c r="AZ22" s="59">
        <f t="shared" si="39"/>
        <v>-8.7200000000000166E-2</v>
      </c>
      <c r="BA22" s="59">
        <f t="shared" si="39"/>
        <v>-0.17770000000000019</v>
      </c>
      <c r="BB22" s="59">
        <f t="shared" si="39"/>
        <v>0</v>
      </c>
      <c r="BC22" s="59">
        <f t="shared" si="39"/>
        <v>0.25109999999999988</v>
      </c>
      <c r="BD22" s="59">
        <f t="shared" si="39"/>
        <v>-0.1221000000000001</v>
      </c>
    </row>
    <row r="23" spans="1:56" x14ac:dyDescent="0.25">
      <c r="A23" s="58">
        <f>A14-$F$14</f>
        <v>-0.44069999999999998</v>
      </c>
      <c r="B23" s="58">
        <f t="shared" ref="B23:F23" si="40">B14-$F$14</f>
        <v>-0.58349999999999991</v>
      </c>
      <c r="C23" s="58">
        <f t="shared" si="40"/>
        <v>-0.53869999999999996</v>
      </c>
      <c r="D23" s="58">
        <f>D14-$F$14</f>
        <v>0.25670000000000004</v>
      </c>
      <c r="E23" s="58">
        <f t="shared" si="40"/>
        <v>-0.85769999999999991</v>
      </c>
      <c r="F23" s="58">
        <f t="shared" si="40"/>
        <v>0</v>
      </c>
      <c r="G23" s="58">
        <f>G14-$F$14</f>
        <v>-0.96130000000000004</v>
      </c>
      <c r="H23" s="59">
        <f>H14-$M$14</f>
        <v>-0.17979999999999999</v>
      </c>
      <c r="I23" s="59">
        <f t="shared" ref="I23:N23" si="41">I14-$M$14</f>
        <v>-0.156</v>
      </c>
      <c r="J23" s="59">
        <f t="shared" si="41"/>
        <v>-0.52210000000000001</v>
      </c>
      <c r="K23" s="59">
        <f t="shared" si="41"/>
        <v>0.46100000000000002</v>
      </c>
      <c r="L23" s="59">
        <f t="shared" si="41"/>
        <v>-0.24389999999999998</v>
      </c>
      <c r="M23" s="59">
        <f t="shared" si="41"/>
        <v>0</v>
      </c>
      <c r="N23" s="59">
        <f t="shared" si="41"/>
        <v>-0.72860000000000003</v>
      </c>
      <c r="O23" s="58">
        <f>O14-$T$14</f>
        <v>0.32259999999999989</v>
      </c>
      <c r="P23" s="58">
        <f t="shared" ref="P23:U23" si="42">P14-$T$14</f>
        <v>-3.620000000000001E-2</v>
      </c>
      <c r="Q23" s="58">
        <f t="shared" si="42"/>
        <v>4.9999999999994493E-4</v>
      </c>
      <c r="R23" s="58">
        <f>R14-$T$14</f>
        <v>-7.6800000000000201E-2</v>
      </c>
      <c r="S23" s="58">
        <f t="shared" si="42"/>
        <v>-4.170000000000007E-2</v>
      </c>
      <c r="T23" s="58">
        <f t="shared" si="42"/>
        <v>0</v>
      </c>
      <c r="U23" s="58">
        <f t="shared" si="42"/>
        <v>0.29569999999999985</v>
      </c>
      <c r="V23" s="59">
        <f t="shared" ref="V23:AB23" si="43">V14-$AA$14</f>
        <v>0.19310000000000005</v>
      </c>
      <c r="W23" s="59">
        <f t="shared" si="43"/>
        <v>0.33489999999999998</v>
      </c>
      <c r="X23" s="59">
        <f t="shared" si="43"/>
        <v>2.5000000000000022E-2</v>
      </c>
      <c r="Y23" s="59">
        <f t="shared" si="43"/>
        <v>0.92130000000000001</v>
      </c>
      <c r="Z23" s="59">
        <f t="shared" si="43"/>
        <v>-0.19679999999999997</v>
      </c>
      <c r="AA23" s="59">
        <f t="shared" si="43"/>
        <v>0</v>
      </c>
      <c r="AB23" s="59">
        <f t="shared" si="43"/>
        <v>-0.10460000000000003</v>
      </c>
      <c r="AC23" s="58">
        <f t="shared" ref="AC23:AI23" si="44">AC14-$AH$14</f>
        <v>0.65559999999999996</v>
      </c>
      <c r="AD23" s="58">
        <f t="shared" si="44"/>
        <v>0.51559999999999995</v>
      </c>
      <c r="AE23" s="58">
        <f t="shared" si="44"/>
        <v>0.35619999999999996</v>
      </c>
      <c r="AF23" s="58">
        <f t="shared" si="44"/>
        <v>-6.3100000000000156E-2</v>
      </c>
      <c r="AG23" s="58">
        <f t="shared" si="44"/>
        <v>0.50299999999999989</v>
      </c>
      <c r="AH23" s="58">
        <f t="shared" si="44"/>
        <v>0</v>
      </c>
      <c r="AI23" s="58">
        <f t="shared" si="44"/>
        <v>-4.2000000000000037E-2</v>
      </c>
      <c r="AJ23" s="59">
        <f t="shared" ref="AJ23:AP23" si="45">AJ14-$AO$14</f>
        <v>-0.41520000000000001</v>
      </c>
      <c r="AK23" s="59">
        <f t="shared" si="45"/>
        <v>-0.26159999999999994</v>
      </c>
      <c r="AL23" s="59">
        <f t="shared" si="45"/>
        <v>-0.28210000000000002</v>
      </c>
      <c r="AM23" s="59">
        <f t="shared" si="45"/>
        <v>0.13260000000000005</v>
      </c>
      <c r="AN23" s="59">
        <f t="shared" si="45"/>
        <v>-0.5411999999999999</v>
      </c>
      <c r="AO23" s="59">
        <f t="shared" si="45"/>
        <v>0</v>
      </c>
      <c r="AP23" s="59">
        <f t="shared" si="45"/>
        <v>-0.31320000000000003</v>
      </c>
      <c r="AQ23" s="58">
        <f t="shared" ref="AQ23:AW23" si="46">AQ14-$AV$14</f>
        <v>-9.1799999999999993E-2</v>
      </c>
      <c r="AR23" s="58">
        <f t="shared" si="46"/>
        <v>0.30230000000000001</v>
      </c>
      <c r="AS23" s="58">
        <f t="shared" si="46"/>
        <v>-2.0199999999999996E-2</v>
      </c>
      <c r="AT23" s="58">
        <f t="shared" si="46"/>
        <v>0.27300000000000002</v>
      </c>
      <c r="AU23" s="58">
        <f t="shared" si="46"/>
        <v>0.13990000000000002</v>
      </c>
      <c r="AV23" s="58">
        <f t="shared" si="46"/>
        <v>0</v>
      </c>
      <c r="AW23" s="58">
        <f t="shared" si="46"/>
        <v>0.33530000000000004</v>
      </c>
      <c r="AX23" s="59">
        <f t="shared" ref="AX23:BD23" si="47">AX14-$BC$14</f>
        <v>-0.35179999999999989</v>
      </c>
      <c r="AY23" s="59">
        <f t="shared" si="47"/>
        <v>-0.36840000000000006</v>
      </c>
      <c r="AZ23" s="59">
        <f t="shared" si="47"/>
        <v>-0.33830000000000005</v>
      </c>
      <c r="BA23" s="59">
        <f t="shared" si="47"/>
        <v>-0.42880000000000007</v>
      </c>
      <c r="BB23" s="59">
        <f t="shared" si="47"/>
        <v>-0.25109999999999988</v>
      </c>
      <c r="BC23" s="59">
        <f t="shared" si="47"/>
        <v>0</v>
      </c>
      <c r="BD23" s="59">
        <f t="shared" si="47"/>
        <v>-0.37319999999999998</v>
      </c>
    </row>
    <row r="24" spans="1:56" x14ac:dyDescent="0.25">
      <c r="A24" s="58">
        <f>A14-$G$14</f>
        <v>0.52059999999999995</v>
      </c>
      <c r="B24" s="58">
        <f t="shared" ref="B24:G24" si="48">B14-$G$14</f>
        <v>0.37780000000000002</v>
      </c>
      <c r="C24" s="58">
        <f t="shared" si="48"/>
        <v>0.42259999999999998</v>
      </c>
      <c r="D24" s="58">
        <f t="shared" si="48"/>
        <v>1.218</v>
      </c>
      <c r="E24" s="58">
        <f t="shared" si="48"/>
        <v>0.10360000000000003</v>
      </c>
      <c r="F24" s="58">
        <f t="shared" si="48"/>
        <v>0.96130000000000004</v>
      </c>
      <c r="G24" s="58">
        <f t="shared" si="48"/>
        <v>0</v>
      </c>
      <c r="H24" s="59">
        <f>H14-$N$14</f>
        <v>0.54879999999999995</v>
      </c>
      <c r="I24" s="59">
        <f t="shared" ref="I24:M24" si="49">I14-$N$14</f>
        <v>0.5726</v>
      </c>
      <c r="J24" s="59">
        <f t="shared" si="49"/>
        <v>0.20650000000000002</v>
      </c>
      <c r="K24" s="59">
        <f t="shared" si="49"/>
        <v>1.1896</v>
      </c>
      <c r="L24" s="59">
        <f t="shared" si="49"/>
        <v>0.48470000000000002</v>
      </c>
      <c r="M24" s="59">
        <f t="shared" si="49"/>
        <v>0.72860000000000003</v>
      </c>
      <c r="N24" s="59">
        <f>N14-$N$14</f>
        <v>0</v>
      </c>
      <c r="O24" s="58">
        <f>O14-$U$14</f>
        <v>2.6900000000000035E-2</v>
      </c>
      <c r="P24" s="58">
        <f t="shared" ref="P24:U24" si="50">P14-$U$14</f>
        <v>-0.33189999999999986</v>
      </c>
      <c r="Q24" s="58">
        <f t="shared" si="50"/>
        <v>-0.29519999999999991</v>
      </c>
      <c r="R24" s="58">
        <f t="shared" si="50"/>
        <v>-0.37250000000000005</v>
      </c>
      <c r="S24" s="58">
        <f t="shared" si="50"/>
        <v>-0.33739999999999992</v>
      </c>
      <c r="T24" s="58">
        <f t="shared" si="50"/>
        <v>-0.29569999999999985</v>
      </c>
      <c r="U24" s="58">
        <f t="shared" si="50"/>
        <v>0</v>
      </c>
      <c r="V24" s="59">
        <f t="shared" ref="V24:AB24" si="51">V14-$AB$14</f>
        <v>0.29770000000000008</v>
      </c>
      <c r="W24" s="59">
        <f t="shared" si="51"/>
        <v>0.4395</v>
      </c>
      <c r="X24" s="59">
        <f t="shared" si="51"/>
        <v>0.12960000000000005</v>
      </c>
      <c r="Y24" s="59">
        <f t="shared" si="51"/>
        <v>1.0259</v>
      </c>
      <c r="Z24" s="59">
        <f t="shared" si="51"/>
        <v>-9.2199999999999949E-2</v>
      </c>
      <c r="AA24" s="59">
        <f t="shared" si="51"/>
        <v>0.10460000000000003</v>
      </c>
      <c r="AB24" s="59">
        <f t="shared" si="51"/>
        <v>0</v>
      </c>
      <c r="AC24" s="58">
        <f t="shared" ref="AC24:AI24" si="52">AC14-$AI$14</f>
        <v>0.6976</v>
      </c>
      <c r="AD24" s="58">
        <f t="shared" si="52"/>
        <v>0.55759999999999998</v>
      </c>
      <c r="AE24" s="58">
        <f t="shared" si="52"/>
        <v>0.3982</v>
      </c>
      <c r="AF24" s="58">
        <f t="shared" si="52"/>
        <v>-2.1100000000000119E-2</v>
      </c>
      <c r="AG24" s="58">
        <f t="shared" si="52"/>
        <v>0.54499999999999993</v>
      </c>
      <c r="AH24" s="58">
        <f t="shared" si="52"/>
        <v>4.2000000000000037E-2</v>
      </c>
      <c r="AI24" s="58">
        <f t="shared" si="52"/>
        <v>0</v>
      </c>
      <c r="AJ24" s="59">
        <f t="shared" ref="AJ24:AP24" si="53">AJ14-$AP$14</f>
        <v>-0.10199999999999998</v>
      </c>
      <c r="AK24" s="59">
        <f t="shared" si="53"/>
        <v>5.160000000000009E-2</v>
      </c>
      <c r="AL24" s="59">
        <f t="shared" si="53"/>
        <v>3.1100000000000017E-2</v>
      </c>
      <c r="AM24" s="59">
        <f t="shared" si="53"/>
        <v>0.44580000000000009</v>
      </c>
      <c r="AN24" s="59">
        <f t="shared" si="53"/>
        <v>-0.22799999999999987</v>
      </c>
      <c r="AO24" s="59">
        <f t="shared" si="53"/>
        <v>0.31320000000000003</v>
      </c>
      <c r="AP24" s="59">
        <f t="shared" si="53"/>
        <v>0</v>
      </c>
      <c r="AQ24" s="58">
        <f t="shared" ref="AQ24:AW24" si="54">AQ14-$AW$14</f>
        <v>-0.42710000000000004</v>
      </c>
      <c r="AR24" s="58">
        <f t="shared" si="54"/>
        <v>-3.3000000000000029E-2</v>
      </c>
      <c r="AS24" s="58">
        <f t="shared" si="54"/>
        <v>-0.35550000000000004</v>
      </c>
      <c r="AT24" s="58">
        <f t="shared" si="54"/>
        <v>-6.2300000000000022E-2</v>
      </c>
      <c r="AU24" s="58">
        <f t="shared" si="54"/>
        <v>-0.19540000000000002</v>
      </c>
      <c r="AV24" s="58">
        <f t="shared" si="54"/>
        <v>-0.33530000000000004</v>
      </c>
      <c r="AW24" s="58">
        <f t="shared" si="54"/>
        <v>0</v>
      </c>
      <c r="AX24" s="59">
        <f t="shared" ref="AX24:BD24" si="55">AX14-$BD$14</f>
        <v>2.1400000000000086E-2</v>
      </c>
      <c r="AY24" s="59">
        <f t="shared" si="55"/>
        <v>4.7999999999999154E-3</v>
      </c>
      <c r="AZ24" s="59">
        <f t="shared" si="55"/>
        <v>3.4899999999999931E-2</v>
      </c>
      <c r="BA24" s="59">
        <f t="shared" si="55"/>
        <v>-5.5600000000000094E-2</v>
      </c>
      <c r="BB24" s="59">
        <f t="shared" si="55"/>
        <v>0.1221000000000001</v>
      </c>
      <c r="BC24" s="59">
        <f t="shared" si="55"/>
        <v>0.37319999999999998</v>
      </c>
      <c r="BD24" s="59">
        <f t="shared" si="55"/>
        <v>0</v>
      </c>
    </row>
    <row r="27" spans="1:56" x14ac:dyDescent="0.25">
      <c r="A27" s="89" t="s">
        <v>159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</row>
    <row r="28" spans="1:56" x14ac:dyDescent="0.25">
      <c r="A28" s="11">
        <v>1</v>
      </c>
      <c r="B28" s="11">
        <v>2</v>
      </c>
      <c r="C28" s="11">
        <v>3</v>
      </c>
      <c r="D28" s="11">
        <v>4</v>
      </c>
      <c r="E28" s="11">
        <v>5</v>
      </c>
      <c r="F28" s="11">
        <v>6</v>
      </c>
      <c r="G28" s="11">
        <v>7</v>
      </c>
      <c r="H28" s="11">
        <v>1</v>
      </c>
      <c r="I28" s="11">
        <v>2</v>
      </c>
      <c r="J28" s="11">
        <v>3</v>
      </c>
      <c r="K28" s="11">
        <v>4</v>
      </c>
      <c r="L28" s="11">
        <v>5</v>
      </c>
      <c r="M28" s="11">
        <v>6</v>
      </c>
      <c r="N28" s="11">
        <v>7</v>
      </c>
      <c r="O28" s="11">
        <v>1</v>
      </c>
      <c r="P28" s="11">
        <v>2</v>
      </c>
      <c r="Q28" s="11">
        <v>3</v>
      </c>
      <c r="R28" s="11">
        <v>4</v>
      </c>
      <c r="S28" s="11">
        <v>5</v>
      </c>
      <c r="T28" s="11">
        <v>6</v>
      </c>
      <c r="U28" s="11">
        <v>7</v>
      </c>
      <c r="V28" s="11">
        <v>1</v>
      </c>
      <c r="W28" s="11">
        <v>2</v>
      </c>
      <c r="X28" s="11">
        <v>3</v>
      </c>
      <c r="Y28" s="11">
        <v>4</v>
      </c>
      <c r="Z28" s="11">
        <v>5</v>
      </c>
      <c r="AA28" s="11">
        <v>6</v>
      </c>
      <c r="AB28" s="11">
        <v>7</v>
      </c>
      <c r="AC28" s="11">
        <v>1</v>
      </c>
      <c r="AD28" s="11">
        <v>2</v>
      </c>
      <c r="AE28" s="11">
        <v>3</v>
      </c>
      <c r="AF28" s="11">
        <v>4</v>
      </c>
      <c r="AG28" s="11">
        <v>5</v>
      </c>
      <c r="AH28" s="11">
        <v>6</v>
      </c>
      <c r="AI28" s="11">
        <v>7</v>
      </c>
      <c r="AJ28" s="11">
        <v>1</v>
      </c>
      <c r="AK28" s="11">
        <v>2</v>
      </c>
      <c r="AL28" s="11">
        <v>3</v>
      </c>
      <c r="AM28" s="11">
        <v>4</v>
      </c>
      <c r="AN28" s="11">
        <v>5</v>
      </c>
      <c r="AO28" s="11">
        <v>6</v>
      </c>
      <c r="AP28" s="11">
        <v>7</v>
      </c>
      <c r="AQ28" s="11">
        <v>1</v>
      </c>
      <c r="AR28" s="11">
        <v>2</v>
      </c>
      <c r="AS28" s="11">
        <v>3</v>
      </c>
      <c r="AT28" s="11">
        <v>4</v>
      </c>
      <c r="AU28" s="11">
        <v>5</v>
      </c>
      <c r="AV28" s="11">
        <v>6</v>
      </c>
      <c r="AW28" s="11">
        <v>7</v>
      </c>
      <c r="AX28" s="11">
        <v>1</v>
      </c>
      <c r="AY28" s="11">
        <v>2</v>
      </c>
      <c r="AZ28" s="11">
        <v>3</v>
      </c>
      <c r="BA28" s="11">
        <v>4</v>
      </c>
      <c r="BB28" s="11">
        <v>5</v>
      </c>
      <c r="BC28" s="11">
        <v>6</v>
      </c>
      <c r="BD28" s="11">
        <v>7</v>
      </c>
    </row>
    <row r="29" spans="1:56" x14ac:dyDescent="0.25">
      <c r="A29" s="113" t="s">
        <v>150</v>
      </c>
      <c r="B29" s="113"/>
      <c r="C29" s="113"/>
      <c r="D29" s="113"/>
      <c r="E29" s="113"/>
      <c r="F29" s="113"/>
      <c r="G29" s="113"/>
      <c r="H29" s="115" t="s">
        <v>151</v>
      </c>
      <c r="I29" s="115"/>
      <c r="J29" s="115"/>
      <c r="K29" s="115"/>
      <c r="L29" s="115"/>
      <c r="M29" s="115"/>
      <c r="N29" s="115"/>
      <c r="O29" s="116" t="s">
        <v>152</v>
      </c>
      <c r="P29" s="117"/>
      <c r="Q29" s="117"/>
      <c r="R29" s="117"/>
      <c r="S29" s="117"/>
      <c r="T29" s="117"/>
      <c r="U29" s="118"/>
      <c r="V29" s="115" t="s">
        <v>153</v>
      </c>
      <c r="W29" s="115"/>
      <c r="X29" s="115"/>
      <c r="Y29" s="115"/>
      <c r="Z29" s="115"/>
      <c r="AA29" s="115"/>
      <c r="AB29" s="115"/>
      <c r="AC29" s="116" t="s">
        <v>154</v>
      </c>
      <c r="AD29" s="117"/>
      <c r="AE29" s="117"/>
      <c r="AF29" s="117"/>
      <c r="AG29" s="117"/>
      <c r="AH29" s="117"/>
      <c r="AI29" s="118"/>
      <c r="AJ29" s="119" t="s">
        <v>156</v>
      </c>
      <c r="AK29" s="120"/>
      <c r="AL29" s="120"/>
      <c r="AM29" s="120"/>
      <c r="AN29" s="120"/>
      <c r="AO29" s="120"/>
      <c r="AP29" s="121"/>
      <c r="AQ29" s="116" t="s">
        <v>155</v>
      </c>
      <c r="AR29" s="117"/>
      <c r="AS29" s="117"/>
      <c r="AT29" s="117"/>
      <c r="AU29" s="117"/>
      <c r="AV29" s="117"/>
      <c r="AW29" s="118"/>
      <c r="AX29" s="119" t="s">
        <v>157</v>
      </c>
      <c r="AY29" s="120"/>
      <c r="AZ29" s="120"/>
      <c r="BA29" s="120"/>
      <c r="BB29" s="120"/>
      <c r="BC29" s="120"/>
      <c r="BD29" s="121"/>
    </row>
    <row r="30" spans="1:56" x14ac:dyDescent="0.25">
      <c r="A30" s="58">
        <v>0</v>
      </c>
      <c r="B30" s="58">
        <v>-0.14279999999999998</v>
      </c>
      <c r="C30" s="58">
        <v>-9.8000000000000032E-2</v>
      </c>
      <c r="D30" s="58">
        <v>0.69740000000000002</v>
      </c>
      <c r="E30" s="58">
        <v>-0.41699999999999998</v>
      </c>
      <c r="F30" s="58">
        <v>0.44069999999999998</v>
      </c>
      <c r="G30" s="58">
        <v>-0.52059999999999995</v>
      </c>
      <c r="H30" s="59">
        <v>0</v>
      </c>
      <c r="I30" s="59">
        <v>2.3799999999999988E-2</v>
      </c>
      <c r="J30" s="59">
        <v>-0.34229999999999994</v>
      </c>
      <c r="K30" s="59">
        <v>0.64080000000000004</v>
      </c>
      <c r="L30" s="59">
        <v>-6.409999999999999E-2</v>
      </c>
      <c r="M30" s="59">
        <v>0.17979999999999999</v>
      </c>
      <c r="N30" s="59">
        <v>-0.54879999999999995</v>
      </c>
      <c r="O30" s="58">
        <v>0</v>
      </c>
      <c r="P30" s="58">
        <v>-0.3587999999999999</v>
      </c>
      <c r="Q30" s="58">
        <v>-0.32209999999999994</v>
      </c>
      <c r="R30" s="58">
        <v>-0.39940000000000009</v>
      </c>
      <c r="S30" s="58">
        <v>-0.36429999999999996</v>
      </c>
      <c r="T30" s="58">
        <v>-0.32259999999999989</v>
      </c>
      <c r="U30" s="58">
        <v>-2.6900000000000035E-2</v>
      </c>
      <c r="V30" s="59">
        <v>0</v>
      </c>
      <c r="W30" s="59">
        <v>0.14179999999999993</v>
      </c>
      <c r="X30" s="59">
        <v>-0.16810000000000003</v>
      </c>
      <c r="Y30" s="59">
        <v>0.72819999999999996</v>
      </c>
      <c r="Z30" s="59">
        <v>-0.38990000000000002</v>
      </c>
      <c r="AA30" s="59">
        <v>-0.19310000000000005</v>
      </c>
      <c r="AB30" s="59">
        <v>-0.29770000000000008</v>
      </c>
      <c r="AC30" s="58">
        <v>0</v>
      </c>
      <c r="AD30" s="58">
        <v>-0.13999999999999996</v>
      </c>
      <c r="AE30" s="58">
        <v>-0.29939999999999994</v>
      </c>
      <c r="AF30" s="58">
        <v>-0.71870000000000012</v>
      </c>
      <c r="AG30" s="58">
        <v>-0.15260000000000001</v>
      </c>
      <c r="AH30" s="58">
        <v>-0.65559999999999996</v>
      </c>
      <c r="AI30" s="58">
        <v>-0.6976</v>
      </c>
      <c r="AJ30" s="59">
        <v>0</v>
      </c>
      <c r="AK30" s="59">
        <v>0.15360000000000007</v>
      </c>
      <c r="AL30" s="59">
        <v>0.1331</v>
      </c>
      <c r="AM30" s="59">
        <v>0.54780000000000006</v>
      </c>
      <c r="AN30" s="59">
        <v>-0.12599999999999989</v>
      </c>
      <c r="AO30" s="59">
        <v>0.41520000000000001</v>
      </c>
      <c r="AP30" s="59">
        <v>0.10199999999999998</v>
      </c>
      <c r="AQ30" s="58">
        <v>0</v>
      </c>
      <c r="AR30" s="58">
        <v>0.39410000000000001</v>
      </c>
      <c r="AS30" s="58">
        <v>7.1599999999999997E-2</v>
      </c>
      <c r="AT30" s="58">
        <v>0.36480000000000001</v>
      </c>
      <c r="AU30" s="58">
        <v>0.23170000000000002</v>
      </c>
      <c r="AV30" s="58">
        <v>9.1799999999999993E-2</v>
      </c>
      <c r="AW30" s="58">
        <v>0.42710000000000004</v>
      </c>
      <c r="AX30" s="59">
        <v>0</v>
      </c>
      <c r="AY30" s="59">
        <v>-1.660000000000017E-2</v>
      </c>
      <c r="AZ30" s="59">
        <v>1.3499999999999845E-2</v>
      </c>
      <c r="BA30" s="59">
        <v>-7.7000000000000179E-2</v>
      </c>
      <c r="BB30" s="59">
        <v>0.10070000000000001</v>
      </c>
      <c r="BC30" s="59">
        <v>0.35179999999999989</v>
      </c>
      <c r="BD30" s="59">
        <v>-2.1400000000000086E-2</v>
      </c>
    </row>
    <row r="31" spans="1:56" x14ac:dyDescent="0.25">
      <c r="A31" s="58">
        <v>0.14279999999999998</v>
      </c>
      <c r="B31" s="58">
        <v>0</v>
      </c>
      <c r="C31" s="58">
        <v>4.4799999999999951E-2</v>
      </c>
      <c r="D31" s="58">
        <v>0.84019999999999995</v>
      </c>
      <c r="E31" s="58">
        <v>-0.2742</v>
      </c>
      <c r="F31" s="58">
        <v>0.58349999999999991</v>
      </c>
      <c r="G31" s="58">
        <v>-0.37780000000000002</v>
      </c>
      <c r="H31" s="59">
        <v>-2.3799999999999988E-2</v>
      </c>
      <c r="I31" s="59">
        <v>0</v>
      </c>
      <c r="J31" s="59">
        <v>-0.36609999999999998</v>
      </c>
      <c r="K31" s="59">
        <v>0.61699999999999999</v>
      </c>
      <c r="L31" s="59">
        <v>-8.7899999999999978E-2</v>
      </c>
      <c r="M31" s="59">
        <v>0.156</v>
      </c>
      <c r="N31" s="59">
        <v>-0.5726</v>
      </c>
      <c r="O31" s="58">
        <v>0.3587999999999999</v>
      </c>
      <c r="P31" s="58">
        <v>0</v>
      </c>
      <c r="Q31" s="58">
        <v>3.6699999999999955E-2</v>
      </c>
      <c r="R31" s="58">
        <v>-4.0600000000000191E-2</v>
      </c>
      <c r="S31" s="58">
        <v>-5.5000000000000604E-3</v>
      </c>
      <c r="T31" s="58">
        <v>3.620000000000001E-2</v>
      </c>
      <c r="U31" s="58">
        <v>0.33189999999999986</v>
      </c>
      <c r="V31" s="59">
        <v>-0.14179999999999993</v>
      </c>
      <c r="W31" s="59">
        <v>0</v>
      </c>
      <c r="X31" s="59">
        <v>-0.30989999999999995</v>
      </c>
      <c r="Y31" s="59">
        <v>0.58640000000000003</v>
      </c>
      <c r="Z31" s="59">
        <v>-0.53169999999999995</v>
      </c>
      <c r="AA31" s="59">
        <v>-0.33489999999999998</v>
      </c>
      <c r="AB31" s="59">
        <v>-0.4395</v>
      </c>
      <c r="AC31" s="58">
        <v>0.13999999999999996</v>
      </c>
      <c r="AD31" s="58">
        <v>0</v>
      </c>
      <c r="AE31" s="58">
        <v>-0.15939999999999999</v>
      </c>
      <c r="AF31" s="58">
        <v>-0.5787000000000001</v>
      </c>
      <c r="AG31" s="58">
        <v>-1.2600000000000056E-2</v>
      </c>
      <c r="AH31" s="58">
        <v>-0.51559999999999995</v>
      </c>
      <c r="AI31" s="58">
        <v>-0.55759999999999998</v>
      </c>
      <c r="AJ31" s="59">
        <v>-0.15360000000000007</v>
      </c>
      <c r="AK31" s="59">
        <v>0</v>
      </c>
      <c r="AL31" s="59">
        <v>-2.0500000000000074E-2</v>
      </c>
      <c r="AM31" s="59">
        <v>0.39419999999999999</v>
      </c>
      <c r="AN31" s="59">
        <v>-0.27959999999999996</v>
      </c>
      <c r="AO31" s="59">
        <v>0.26159999999999994</v>
      </c>
      <c r="AP31" s="59">
        <v>-5.160000000000009E-2</v>
      </c>
      <c r="AQ31" s="58">
        <v>-0.39410000000000001</v>
      </c>
      <c r="AR31" s="58">
        <v>0</v>
      </c>
      <c r="AS31" s="58">
        <v>-0.32250000000000001</v>
      </c>
      <c r="AT31" s="58">
        <v>-2.9299999999999993E-2</v>
      </c>
      <c r="AU31" s="58">
        <v>-0.16239999999999999</v>
      </c>
      <c r="AV31" s="58">
        <v>-0.30230000000000001</v>
      </c>
      <c r="AW31" s="58">
        <v>3.3000000000000029E-2</v>
      </c>
      <c r="AX31" s="59">
        <v>1.660000000000017E-2</v>
      </c>
      <c r="AY31" s="59">
        <v>0</v>
      </c>
      <c r="AZ31" s="59">
        <v>3.0100000000000016E-2</v>
      </c>
      <c r="BA31" s="59">
        <v>-6.0400000000000009E-2</v>
      </c>
      <c r="BB31" s="59">
        <v>0.11730000000000018</v>
      </c>
      <c r="BC31" s="59">
        <v>0.36840000000000006</v>
      </c>
      <c r="BD31" s="59">
        <v>-4.7999999999999154E-3</v>
      </c>
    </row>
    <row r="32" spans="1:56" x14ac:dyDescent="0.25">
      <c r="A32" s="58">
        <v>9.8000000000000032E-2</v>
      </c>
      <c r="B32" s="58">
        <v>-4.4799999999999951E-2</v>
      </c>
      <c r="C32" s="58">
        <v>0</v>
      </c>
      <c r="D32" s="58">
        <v>0.7954</v>
      </c>
      <c r="E32" s="58">
        <v>-0.31899999999999995</v>
      </c>
      <c r="F32" s="58">
        <v>0.53869999999999996</v>
      </c>
      <c r="G32" s="58">
        <v>-0.42259999999999998</v>
      </c>
      <c r="H32" s="59">
        <v>0.34229999999999994</v>
      </c>
      <c r="I32" s="59">
        <v>0.36609999999999998</v>
      </c>
      <c r="J32" s="59">
        <v>0</v>
      </c>
      <c r="K32" s="59">
        <v>0.98309999999999997</v>
      </c>
      <c r="L32" s="59">
        <v>0.2782</v>
      </c>
      <c r="M32" s="59">
        <v>0.52210000000000001</v>
      </c>
      <c r="N32" s="59">
        <v>-0.20650000000000002</v>
      </c>
      <c r="O32" s="58">
        <v>0.32209999999999994</v>
      </c>
      <c r="P32" s="58">
        <v>-3.6699999999999955E-2</v>
      </c>
      <c r="Q32" s="58">
        <v>0</v>
      </c>
      <c r="R32" s="58">
        <v>-7.7300000000000146E-2</v>
      </c>
      <c r="S32" s="58">
        <v>-4.2200000000000015E-2</v>
      </c>
      <c r="T32" s="58">
        <v>-4.9999999999994493E-4</v>
      </c>
      <c r="U32" s="58">
        <v>0.29519999999999991</v>
      </c>
      <c r="V32" s="59">
        <v>0.16810000000000003</v>
      </c>
      <c r="W32" s="59">
        <v>0.30989999999999995</v>
      </c>
      <c r="X32" s="59">
        <v>0</v>
      </c>
      <c r="Y32" s="59">
        <v>0.89629999999999999</v>
      </c>
      <c r="Z32" s="59">
        <v>-0.2218</v>
      </c>
      <c r="AA32" s="59">
        <v>-2.5000000000000022E-2</v>
      </c>
      <c r="AB32" s="59">
        <v>-0.12960000000000005</v>
      </c>
      <c r="AC32" s="58">
        <v>0.29939999999999994</v>
      </c>
      <c r="AD32" s="58">
        <v>0.15939999999999999</v>
      </c>
      <c r="AE32" s="58">
        <v>0</v>
      </c>
      <c r="AF32" s="58">
        <v>-0.41930000000000012</v>
      </c>
      <c r="AG32" s="58">
        <v>0.14679999999999993</v>
      </c>
      <c r="AH32" s="58">
        <v>-0.35619999999999996</v>
      </c>
      <c r="AI32" s="58">
        <v>-0.3982</v>
      </c>
      <c r="AJ32" s="59">
        <v>-0.1331</v>
      </c>
      <c r="AK32" s="59">
        <v>2.0500000000000074E-2</v>
      </c>
      <c r="AL32" s="59">
        <v>0</v>
      </c>
      <c r="AM32" s="59">
        <v>0.41470000000000007</v>
      </c>
      <c r="AN32" s="59">
        <v>-0.25909999999999989</v>
      </c>
      <c r="AO32" s="59">
        <v>0.28210000000000002</v>
      </c>
      <c r="AP32" s="59">
        <v>-3.1100000000000017E-2</v>
      </c>
      <c r="AQ32" s="58">
        <v>-7.1599999999999997E-2</v>
      </c>
      <c r="AR32" s="58">
        <v>0.32250000000000001</v>
      </c>
      <c r="AS32" s="58">
        <v>0</v>
      </c>
      <c r="AT32" s="58">
        <v>0.29320000000000002</v>
      </c>
      <c r="AU32" s="58">
        <v>0.16010000000000002</v>
      </c>
      <c r="AV32" s="58">
        <v>2.0199999999999996E-2</v>
      </c>
      <c r="AW32" s="58">
        <v>0.35550000000000004</v>
      </c>
      <c r="AX32" s="59">
        <v>-1.3499999999999845E-2</v>
      </c>
      <c r="AY32" s="59">
        <v>-3.0100000000000016E-2</v>
      </c>
      <c r="AZ32" s="59">
        <v>0</v>
      </c>
      <c r="BA32" s="59">
        <v>-9.0500000000000025E-2</v>
      </c>
      <c r="BB32" s="59">
        <v>8.7200000000000166E-2</v>
      </c>
      <c r="BC32" s="59">
        <v>0.33830000000000005</v>
      </c>
      <c r="BD32" s="59">
        <v>-3.4899999999999931E-2</v>
      </c>
    </row>
    <row r="33" spans="1:56" x14ac:dyDescent="0.25">
      <c r="A33" s="58">
        <v>-0.69740000000000002</v>
      </c>
      <c r="B33" s="58">
        <v>-0.84019999999999995</v>
      </c>
      <c r="C33" s="58">
        <v>-0.7954</v>
      </c>
      <c r="D33" s="58">
        <v>0</v>
      </c>
      <c r="E33" s="58">
        <v>-1.1144000000000001</v>
      </c>
      <c r="F33" s="58">
        <v>-0.25670000000000004</v>
      </c>
      <c r="G33" s="58">
        <v>-1.218</v>
      </c>
      <c r="H33" s="59">
        <v>-0.64080000000000004</v>
      </c>
      <c r="I33" s="59">
        <v>-0.61699999999999999</v>
      </c>
      <c r="J33" s="59">
        <v>-0.98309999999999997</v>
      </c>
      <c r="K33" s="59">
        <v>0</v>
      </c>
      <c r="L33" s="59">
        <v>-0.70489999999999997</v>
      </c>
      <c r="M33" s="59">
        <v>-0.46100000000000002</v>
      </c>
      <c r="N33" s="59">
        <v>-1.1896</v>
      </c>
      <c r="O33" s="58">
        <v>0.39940000000000009</v>
      </c>
      <c r="P33" s="58">
        <v>4.0600000000000191E-2</v>
      </c>
      <c r="Q33" s="58">
        <v>7.7300000000000146E-2</v>
      </c>
      <c r="R33" s="58">
        <v>0</v>
      </c>
      <c r="S33" s="58">
        <v>3.5100000000000131E-2</v>
      </c>
      <c r="T33" s="58">
        <v>7.6800000000000201E-2</v>
      </c>
      <c r="U33" s="58">
        <v>0.37250000000000005</v>
      </c>
      <c r="V33" s="59">
        <v>-0.72819999999999996</v>
      </c>
      <c r="W33" s="59">
        <v>-0.58640000000000003</v>
      </c>
      <c r="X33" s="59">
        <v>-0.89629999999999999</v>
      </c>
      <c r="Y33" s="59">
        <v>0</v>
      </c>
      <c r="Z33" s="59">
        <v>-1.1181000000000001</v>
      </c>
      <c r="AA33" s="59">
        <v>-0.92130000000000001</v>
      </c>
      <c r="AB33" s="59">
        <v>-1.0259</v>
      </c>
      <c r="AC33" s="58">
        <v>0.71870000000000012</v>
      </c>
      <c r="AD33" s="58">
        <v>0.5787000000000001</v>
      </c>
      <c r="AE33" s="58">
        <v>0.41930000000000012</v>
      </c>
      <c r="AF33" s="58">
        <v>0</v>
      </c>
      <c r="AG33" s="58">
        <v>0.56610000000000005</v>
      </c>
      <c r="AH33" s="58">
        <v>6.3100000000000156E-2</v>
      </c>
      <c r="AI33" s="58">
        <v>2.1100000000000119E-2</v>
      </c>
      <c r="AJ33" s="59">
        <v>-0.54780000000000006</v>
      </c>
      <c r="AK33" s="59">
        <v>-0.39419999999999999</v>
      </c>
      <c r="AL33" s="59">
        <v>-0.41470000000000007</v>
      </c>
      <c r="AM33" s="59">
        <v>0</v>
      </c>
      <c r="AN33" s="59">
        <v>-0.67379999999999995</v>
      </c>
      <c r="AO33" s="59">
        <v>-0.13260000000000005</v>
      </c>
      <c r="AP33" s="59">
        <v>-0.44580000000000009</v>
      </c>
      <c r="AQ33" s="58">
        <v>-0.36480000000000001</v>
      </c>
      <c r="AR33" s="58">
        <v>2.9299999999999993E-2</v>
      </c>
      <c r="AS33" s="58">
        <v>-0.29320000000000002</v>
      </c>
      <c r="AT33" s="58">
        <v>0</v>
      </c>
      <c r="AU33" s="58">
        <v>-0.1331</v>
      </c>
      <c r="AV33" s="58">
        <v>-0.27300000000000002</v>
      </c>
      <c r="AW33" s="58">
        <v>6.2300000000000022E-2</v>
      </c>
      <c r="AX33" s="59">
        <v>7.7000000000000179E-2</v>
      </c>
      <c r="AY33" s="59">
        <v>6.0400000000000009E-2</v>
      </c>
      <c r="AZ33" s="59">
        <v>9.0500000000000025E-2</v>
      </c>
      <c r="BA33" s="59">
        <v>0</v>
      </c>
      <c r="BB33" s="59">
        <v>0.17770000000000019</v>
      </c>
      <c r="BC33" s="59">
        <v>0.42880000000000007</v>
      </c>
      <c r="BD33" s="59">
        <v>5.5600000000000094E-2</v>
      </c>
    </row>
    <row r="34" spans="1:56" x14ac:dyDescent="0.25">
      <c r="A34" s="58">
        <v>0.41699999999999998</v>
      </c>
      <c r="B34" s="58">
        <v>0.2742</v>
      </c>
      <c r="C34" s="58">
        <v>0.31899999999999995</v>
      </c>
      <c r="D34" s="58">
        <v>1.1144000000000001</v>
      </c>
      <c r="E34" s="58">
        <v>0</v>
      </c>
      <c r="F34" s="58">
        <v>0.85769999999999991</v>
      </c>
      <c r="G34" s="58">
        <v>-0.10360000000000003</v>
      </c>
      <c r="H34" s="59">
        <v>6.409999999999999E-2</v>
      </c>
      <c r="I34" s="59">
        <v>8.7899999999999978E-2</v>
      </c>
      <c r="J34" s="59">
        <v>-0.2782</v>
      </c>
      <c r="K34" s="59">
        <v>0.70489999999999997</v>
      </c>
      <c r="L34" s="59">
        <v>0</v>
      </c>
      <c r="M34" s="59">
        <v>0.24389999999999998</v>
      </c>
      <c r="N34" s="59">
        <v>-0.48470000000000002</v>
      </c>
      <c r="O34" s="58">
        <v>0.36429999999999996</v>
      </c>
      <c r="P34" s="58">
        <v>5.5000000000000604E-3</v>
      </c>
      <c r="Q34" s="58">
        <v>4.2200000000000015E-2</v>
      </c>
      <c r="R34" s="58">
        <v>-3.5100000000000131E-2</v>
      </c>
      <c r="S34" s="58">
        <v>0</v>
      </c>
      <c r="T34" s="58">
        <v>4.170000000000007E-2</v>
      </c>
      <c r="U34" s="58">
        <v>0.33739999999999992</v>
      </c>
      <c r="V34" s="59">
        <v>0.38990000000000002</v>
      </c>
      <c r="W34" s="59">
        <v>0.53169999999999995</v>
      </c>
      <c r="X34" s="59">
        <v>0.2218</v>
      </c>
      <c r="Y34" s="59">
        <v>1.1181000000000001</v>
      </c>
      <c r="Z34" s="59">
        <v>0</v>
      </c>
      <c r="AA34" s="59">
        <v>0.19679999999999997</v>
      </c>
      <c r="AB34" s="59">
        <v>9.2199999999999949E-2</v>
      </c>
      <c r="AC34" s="58">
        <v>0.15260000000000001</v>
      </c>
      <c r="AD34" s="58">
        <v>1.2600000000000056E-2</v>
      </c>
      <c r="AE34" s="58">
        <v>-0.14679999999999993</v>
      </c>
      <c r="AF34" s="58">
        <v>-0.56610000000000005</v>
      </c>
      <c r="AG34" s="58">
        <v>0</v>
      </c>
      <c r="AH34" s="58">
        <v>-0.50299999999999989</v>
      </c>
      <c r="AI34" s="58">
        <v>-0.54499999999999993</v>
      </c>
      <c r="AJ34" s="59">
        <v>0.12599999999999989</v>
      </c>
      <c r="AK34" s="59">
        <v>0.27959999999999996</v>
      </c>
      <c r="AL34" s="59">
        <v>0.25909999999999989</v>
      </c>
      <c r="AM34" s="59">
        <v>0.67379999999999995</v>
      </c>
      <c r="AN34" s="59">
        <v>0</v>
      </c>
      <c r="AO34" s="59">
        <v>0.5411999999999999</v>
      </c>
      <c r="AP34" s="59">
        <v>0.22799999999999987</v>
      </c>
      <c r="AQ34" s="58">
        <v>-0.23170000000000002</v>
      </c>
      <c r="AR34" s="58">
        <v>0.16239999999999999</v>
      </c>
      <c r="AS34" s="58">
        <v>-0.16010000000000002</v>
      </c>
      <c r="AT34" s="58">
        <v>0.1331</v>
      </c>
      <c r="AU34" s="58">
        <v>0</v>
      </c>
      <c r="AV34" s="58">
        <v>-0.13990000000000002</v>
      </c>
      <c r="AW34" s="58">
        <v>0.19540000000000002</v>
      </c>
      <c r="AX34" s="59">
        <v>-0.10070000000000001</v>
      </c>
      <c r="AY34" s="59">
        <v>-0.11730000000000018</v>
      </c>
      <c r="AZ34" s="59">
        <v>-8.7200000000000166E-2</v>
      </c>
      <c r="BA34" s="59">
        <v>-0.17770000000000019</v>
      </c>
      <c r="BB34" s="59">
        <v>0</v>
      </c>
      <c r="BC34" s="59">
        <v>0.25109999999999988</v>
      </c>
      <c r="BD34" s="59">
        <v>-0.1221000000000001</v>
      </c>
    </row>
    <row r="35" spans="1:56" x14ac:dyDescent="0.25">
      <c r="A35" s="58">
        <v>-0.44069999999999998</v>
      </c>
      <c r="B35" s="58">
        <v>-0.58349999999999991</v>
      </c>
      <c r="C35" s="58">
        <v>-0.53869999999999996</v>
      </c>
      <c r="D35" s="58">
        <v>0.25670000000000004</v>
      </c>
      <c r="E35" s="58">
        <v>-0.85769999999999991</v>
      </c>
      <c r="F35" s="58">
        <v>0</v>
      </c>
      <c r="G35" s="58">
        <v>-0.96130000000000004</v>
      </c>
      <c r="H35" s="59">
        <v>-0.17979999999999999</v>
      </c>
      <c r="I35" s="59">
        <v>-0.156</v>
      </c>
      <c r="J35" s="59">
        <v>-0.52210000000000001</v>
      </c>
      <c r="K35" s="59">
        <v>0.46100000000000002</v>
      </c>
      <c r="L35" s="59">
        <v>-0.24389999999999998</v>
      </c>
      <c r="M35" s="59">
        <v>0</v>
      </c>
      <c r="N35" s="59">
        <v>-0.72860000000000003</v>
      </c>
      <c r="O35" s="58">
        <v>0.32259999999999989</v>
      </c>
      <c r="P35" s="58">
        <v>-3.620000000000001E-2</v>
      </c>
      <c r="Q35" s="58">
        <v>4.9999999999994493E-4</v>
      </c>
      <c r="R35" s="58">
        <v>-7.6800000000000201E-2</v>
      </c>
      <c r="S35" s="58">
        <v>-4.170000000000007E-2</v>
      </c>
      <c r="T35" s="58">
        <v>0</v>
      </c>
      <c r="U35" s="58">
        <v>0.29569999999999985</v>
      </c>
      <c r="V35" s="59">
        <v>0.19310000000000005</v>
      </c>
      <c r="W35" s="59">
        <v>0.33489999999999998</v>
      </c>
      <c r="X35" s="59">
        <v>2.5000000000000022E-2</v>
      </c>
      <c r="Y35" s="59">
        <v>0.92130000000000001</v>
      </c>
      <c r="Z35" s="59">
        <v>-0.19679999999999997</v>
      </c>
      <c r="AA35" s="59">
        <v>0</v>
      </c>
      <c r="AB35" s="59">
        <v>-0.10460000000000003</v>
      </c>
      <c r="AC35" s="58">
        <v>0.65559999999999996</v>
      </c>
      <c r="AD35" s="58">
        <v>0.51559999999999995</v>
      </c>
      <c r="AE35" s="58">
        <v>0.35619999999999996</v>
      </c>
      <c r="AF35" s="58">
        <v>-6.3100000000000156E-2</v>
      </c>
      <c r="AG35" s="58">
        <v>0.50299999999999989</v>
      </c>
      <c r="AH35" s="58">
        <v>0</v>
      </c>
      <c r="AI35" s="58">
        <v>-4.2000000000000037E-2</v>
      </c>
      <c r="AJ35" s="59">
        <v>-0.41520000000000001</v>
      </c>
      <c r="AK35" s="59">
        <v>-0.26159999999999994</v>
      </c>
      <c r="AL35" s="59">
        <v>-0.28210000000000002</v>
      </c>
      <c r="AM35" s="59">
        <v>0.13260000000000005</v>
      </c>
      <c r="AN35" s="59">
        <v>-0.5411999999999999</v>
      </c>
      <c r="AO35" s="59">
        <v>0</v>
      </c>
      <c r="AP35" s="59">
        <v>-0.31320000000000003</v>
      </c>
      <c r="AQ35" s="58">
        <v>-9.1799999999999993E-2</v>
      </c>
      <c r="AR35" s="58">
        <v>0.30230000000000001</v>
      </c>
      <c r="AS35" s="58">
        <v>-2.0199999999999996E-2</v>
      </c>
      <c r="AT35" s="58">
        <v>0.27300000000000002</v>
      </c>
      <c r="AU35" s="58">
        <v>0.13990000000000002</v>
      </c>
      <c r="AV35" s="58">
        <v>0</v>
      </c>
      <c r="AW35" s="58">
        <v>0.33530000000000004</v>
      </c>
      <c r="AX35" s="59">
        <v>-0.35179999999999989</v>
      </c>
      <c r="AY35" s="59">
        <v>-0.36840000000000006</v>
      </c>
      <c r="AZ35" s="59">
        <v>-0.33830000000000005</v>
      </c>
      <c r="BA35" s="59">
        <v>-0.42880000000000007</v>
      </c>
      <c r="BB35" s="59">
        <v>-0.25109999999999988</v>
      </c>
      <c r="BC35" s="59">
        <v>0</v>
      </c>
      <c r="BD35" s="59">
        <v>-0.37319999999999998</v>
      </c>
    </row>
    <row r="36" spans="1:56" x14ac:dyDescent="0.25">
      <c r="A36" s="58">
        <v>0.52059999999999995</v>
      </c>
      <c r="B36" s="58">
        <v>0.37780000000000002</v>
      </c>
      <c r="C36" s="58">
        <v>0.42259999999999998</v>
      </c>
      <c r="D36" s="58">
        <v>1.218</v>
      </c>
      <c r="E36" s="58">
        <v>0.10360000000000003</v>
      </c>
      <c r="F36" s="58">
        <v>0.96130000000000004</v>
      </c>
      <c r="G36" s="58">
        <v>0</v>
      </c>
      <c r="H36" s="59">
        <v>0.54879999999999995</v>
      </c>
      <c r="I36" s="59">
        <v>0.5726</v>
      </c>
      <c r="J36" s="59">
        <v>0.20650000000000002</v>
      </c>
      <c r="K36" s="59">
        <v>1.1896</v>
      </c>
      <c r="L36" s="59">
        <v>0.48470000000000002</v>
      </c>
      <c r="M36" s="59">
        <v>0.72860000000000003</v>
      </c>
      <c r="N36" s="59">
        <v>0</v>
      </c>
      <c r="O36" s="58">
        <v>2.6900000000000035E-2</v>
      </c>
      <c r="P36" s="58">
        <v>-0.33189999999999986</v>
      </c>
      <c r="Q36" s="58">
        <v>-0.29519999999999991</v>
      </c>
      <c r="R36" s="58">
        <v>-0.37250000000000005</v>
      </c>
      <c r="S36" s="58">
        <v>-0.33739999999999992</v>
      </c>
      <c r="T36" s="58">
        <v>-0.29569999999999985</v>
      </c>
      <c r="U36" s="58">
        <v>0</v>
      </c>
      <c r="V36" s="59">
        <v>0.29770000000000008</v>
      </c>
      <c r="W36" s="59">
        <v>0.4395</v>
      </c>
      <c r="X36" s="59">
        <v>0.12960000000000005</v>
      </c>
      <c r="Y36" s="59">
        <v>1.0259</v>
      </c>
      <c r="Z36" s="59">
        <v>-9.2199999999999949E-2</v>
      </c>
      <c r="AA36" s="59">
        <v>0.10460000000000003</v>
      </c>
      <c r="AB36" s="59">
        <v>0</v>
      </c>
      <c r="AC36" s="58">
        <v>0.6976</v>
      </c>
      <c r="AD36" s="58">
        <v>0.55759999999999998</v>
      </c>
      <c r="AE36" s="58">
        <v>0.3982</v>
      </c>
      <c r="AF36" s="58">
        <v>-2.1100000000000119E-2</v>
      </c>
      <c r="AG36" s="58">
        <v>0.54499999999999993</v>
      </c>
      <c r="AH36" s="58">
        <v>4.2000000000000037E-2</v>
      </c>
      <c r="AI36" s="58">
        <v>0</v>
      </c>
      <c r="AJ36" s="59">
        <v>-0.10199999999999998</v>
      </c>
      <c r="AK36" s="59">
        <v>5.160000000000009E-2</v>
      </c>
      <c r="AL36" s="59">
        <v>3.1100000000000017E-2</v>
      </c>
      <c r="AM36" s="59">
        <v>0.44580000000000009</v>
      </c>
      <c r="AN36" s="59">
        <v>-0.22799999999999987</v>
      </c>
      <c r="AO36" s="59">
        <v>0.31320000000000003</v>
      </c>
      <c r="AP36" s="59">
        <v>0</v>
      </c>
      <c r="AQ36" s="58">
        <v>-0.42710000000000004</v>
      </c>
      <c r="AR36" s="58">
        <v>-3.3000000000000029E-2</v>
      </c>
      <c r="AS36" s="58">
        <v>-0.35550000000000004</v>
      </c>
      <c r="AT36" s="58">
        <v>-6.2300000000000022E-2</v>
      </c>
      <c r="AU36" s="58">
        <v>-0.19540000000000002</v>
      </c>
      <c r="AV36" s="58">
        <v>-0.33530000000000004</v>
      </c>
      <c r="AW36" s="58">
        <v>0</v>
      </c>
      <c r="AX36" s="59">
        <v>2.1400000000000086E-2</v>
      </c>
      <c r="AY36" s="59">
        <v>4.7999999999999154E-3</v>
      </c>
      <c r="AZ36" s="59">
        <v>3.4899999999999931E-2</v>
      </c>
      <c r="BA36" s="59">
        <v>-5.5600000000000094E-2</v>
      </c>
      <c r="BB36" s="59">
        <v>0.1221000000000001</v>
      </c>
      <c r="BC36" s="59">
        <v>0.37319999999999998</v>
      </c>
      <c r="BD36" s="59">
        <v>0</v>
      </c>
    </row>
    <row r="40" spans="1:56" x14ac:dyDescent="0.25">
      <c r="A40" s="89" t="s">
        <v>160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</row>
    <row r="41" spans="1:56" x14ac:dyDescent="0.25">
      <c r="A41" s="11">
        <v>1</v>
      </c>
      <c r="B41" s="11">
        <v>2</v>
      </c>
      <c r="C41" s="11">
        <v>3</v>
      </c>
      <c r="D41" s="11">
        <v>4</v>
      </c>
      <c r="E41" s="11">
        <v>5</v>
      </c>
      <c r="F41" s="11">
        <v>6</v>
      </c>
      <c r="G41" s="11">
        <v>7</v>
      </c>
      <c r="H41" s="11">
        <v>1</v>
      </c>
      <c r="I41" s="11">
        <v>2</v>
      </c>
      <c r="J41" s="11">
        <v>3</v>
      </c>
      <c r="K41" s="11">
        <v>4</v>
      </c>
      <c r="L41" s="11">
        <v>5</v>
      </c>
      <c r="M41" s="11">
        <v>6</v>
      </c>
      <c r="N41" s="11">
        <v>7</v>
      </c>
      <c r="O41" s="11">
        <v>1</v>
      </c>
      <c r="P41" s="11">
        <v>2</v>
      </c>
      <c r="Q41" s="11">
        <v>3</v>
      </c>
      <c r="R41" s="11">
        <v>4</v>
      </c>
      <c r="S41" s="11">
        <v>5</v>
      </c>
      <c r="T41" s="11">
        <v>6</v>
      </c>
      <c r="U41" s="11">
        <v>7</v>
      </c>
      <c r="V41" s="11">
        <v>1</v>
      </c>
      <c r="W41" s="11">
        <v>2</v>
      </c>
      <c r="X41" s="11">
        <v>3</v>
      </c>
      <c r="Y41" s="11">
        <v>4</v>
      </c>
      <c r="Z41" s="11">
        <v>5</v>
      </c>
      <c r="AA41" s="11">
        <v>6</v>
      </c>
      <c r="AB41" s="11">
        <v>7</v>
      </c>
      <c r="AC41" s="11">
        <v>1</v>
      </c>
      <c r="AD41" s="11">
        <v>2</v>
      </c>
      <c r="AE41" s="11">
        <v>3</v>
      </c>
      <c r="AF41" s="11">
        <v>4</v>
      </c>
      <c r="AG41" s="11">
        <v>5</v>
      </c>
      <c r="AH41" s="11">
        <v>6</v>
      </c>
      <c r="AI41" s="11">
        <v>7</v>
      </c>
      <c r="AJ41" s="11">
        <v>1</v>
      </c>
      <c r="AK41" s="11">
        <v>2</v>
      </c>
      <c r="AL41" s="11">
        <v>3</v>
      </c>
      <c r="AM41" s="11">
        <v>4</v>
      </c>
      <c r="AN41" s="11">
        <v>5</v>
      </c>
      <c r="AO41" s="11">
        <v>6</v>
      </c>
      <c r="AP41" s="11">
        <v>7</v>
      </c>
      <c r="AQ41" s="11">
        <v>1</v>
      </c>
      <c r="AR41" s="11">
        <v>2</v>
      </c>
      <c r="AS41" s="11">
        <v>3</v>
      </c>
      <c r="AT41" s="11">
        <v>4</v>
      </c>
      <c r="AU41" s="11">
        <v>5</v>
      </c>
      <c r="AV41" s="11">
        <v>6</v>
      </c>
      <c r="AW41" s="11">
        <v>7</v>
      </c>
      <c r="AX41" s="11">
        <v>1</v>
      </c>
      <c r="AY41" s="11">
        <v>2</v>
      </c>
      <c r="AZ41" s="11">
        <v>3</v>
      </c>
      <c r="BA41" s="11">
        <v>4</v>
      </c>
      <c r="BB41" s="11">
        <v>5</v>
      </c>
      <c r="BC41" s="11">
        <v>6</v>
      </c>
      <c r="BD41" s="11">
        <v>7</v>
      </c>
    </row>
    <row r="42" spans="1:56" x14ac:dyDescent="0.25">
      <c r="A42" s="113" t="s">
        <v>150</v>
      </c>
      <c r="B42" s="113"/>
      <c r="C42" s="113"/>
      <c r="D42" s="113"/>
      <c r="E42" s="113"/>
      <c r="F42" s="113"/>
      <c r="G42" s="113"/>
      <c r="H42" s="115" t="s">
        <v>151</v>
      </c>
      <c r="I42" s="115"/>
      <c r="J42" s="115"/>
      <c r="K42" s="115"/>
      <c r="L42" s="115"/>
      <c r="M42" s="115"/>
      <c r="N42" s="115"/>
      <c r="O42" s="116" t="s">
        <v>152</v>
      </c>
      <c r="P42" s="117"/>
      <c r="Q42" s="117"/>
      <c r="R42" s="117"/>
      <c r="S42" s="117"/>
      <c r="T42" s="117"/>
      <c r="U42" s="118"/>
      <c r="V42" s="115" t="s">
        <v>153</v>
      </c>
      <c r="W42" s="115"/>
      <c r="X42" s="115"/>
      <c r="Y42" s="115"/>
      <c r="Z42" s="115"/>
      <c r="AA42" s="115"/>
      <c r="AB42" s="115"/>
      <c r="AC42" s="116" t="s">
        <v>154</v>
      </c>
      <c r="AD42" s="117"/>
      <c r="AE42" s="117"/>
      <c r="AF42" s="117"/>
      <c r="AG42" s="117"/>
      <c r="AH42" s="117"/>
      <c r="AI42" s="118"/>
      <c r="AJ42" s="119" t="s">
        <v>156</v>
      </c>
      <c r="AK42" s="120"/>
      <c r="AL42" s="120"/>
      <c r="AM42" s="120"/>
      <c r="AN42" s="120"/>
      <c r="AO42" s="120"/>
      <c r="AP42" s="121"/>
      <c r="AQ42" s="116" t="s">
        <v>155</v>
      </c>
      <c r="AR42" s="117"/>
      <c r="AS42" s="117"/>
      <c r="AT42" s="117"/>
      <c r="AU42" s="117"/>
      <c r="AV42" s="117"/>
      <c r="AW42" s="118"/>
      <c r="AX42" s="119" t="s">
        <v>157</v>
      </c>
      <c r="AY42" s="120"/>
      <c r="AZ42" s="120"/>
      <c r="BA42" s="120"/>
      <c r="BB42" s="120"/>
      <c r="BC42" s="120"/>
      <c r="BD42" s="121"/>
    </row>
    <row r="43" spans="1:56" x14ac:dyDescent="0.25">
      <c r="A43" s="58">
        <f>ROUND(A30,4)</f>
        <v>0</v>
      </c>
      <c r="B43" s="58">
        <f t="shared" ref="B43:BD47" si="56">ROUND(B30,4)</f>
        <v>-0.14280000000000001</v>
      </c>
      <c r="C43" s="58">
        <f t="shared" si="56"/>
        <v>-9.8000000000000004E-2</v>
      </c>
      <c r="D43" s="58">
        <f t="shared" si="56"/>
        <v>0.69740000000000002</v>
      </c>
      <c r="E43" s="58">
        <f t="shared" si="56"/>
        <v>-0.41699999999999998</v>
      </c>
      <c r="F43" s="58">
        <f t="shared" si="56"/>
        <v>0.44069999999999998</v>
      </c>
      <c r="G43" s="58">
        <f t="shared" si="56"/>
        <v>-0.52059999999999995</v>
      </c>
      <c r="H43" s="59">
        <f t="shared" si="56"/>
        <v>0</v>
      </c>
      <c r="I43" s="59">
        <f t="shared" si="56"/>
        <v>2.3800000000000002E-2</v>
      </c>
      <c r="J43" s="59">
        <f t="shared" si="56"/>
        <v>-0.34229999999999999</v>
      </c>
      <c r="K43" s="59">
        <f t="shared" si="56"/>
        <v>0.64080000000000004</v>
      </c>
      <c r="L43" s="59">
        <f t="shared" si="56"/>
        <v>-6.4100000000000004E-2</v>
      </c>
      <c r="M43" s="59">
        <f t="shared" si="56"/>
        <v>0.17979999999999999</v>
      </c>
      <c r="N43" s="59">
        <f t="shared" si="56"/>
        <v>-0.54879999999999995</v>
      </c>
      <c r="O43" s="58">
        <f t="shared" si="56"/>
        <v>0</v>
      </c>
      <c r="P43" s="58">
        <f t="shared" si="56"/>
        <v>-0.35880000000000001</v>
      </c>
      <c r="Q43" s="58">
        <f t="shared" si="56"/>
        <v>-0.3221</v>
      </c>
      <c r="R43" s="58">
        <f t="shared" si="56"/>
        <v>-0.39939999999999998</v>
      </c>
      <c r="S43" s="58">
        <f t="shared" si="56"/>
        <v>-0.36430000000000001</v>
      </c>
      <c r="T43" s="58">
        <f t="shared" si="56"/>
        <v>-0.3226</v>
      </c>
      <c r="U43" s="58">
        <f t="shared" si="56"/>
        <v>-2.69E-2</v>
      </c>
      <c r="V43" s="59">
        <f t="shared" si="56"/>
        <v>0</v>
      </c>
      <c r="W43" s="59">
        <f t="shared" si="56"/>
        <v>0.14180000000000001</v>
      </c>
      <c r="X43" s="59">
        <f t="shared" si="56"/>
        <v>-0.1681</v>
      </c>
      <c r="Y43" s="59">
        <f t="shared" si="56"/>
        <v>0.72819999999999996</v>
      </c>
      <c r="Z43" s="59">
        <f t="shared" si="56"/>
        <v>-0.38990000000000002</v>
      </c>
      <c r="AA43" s="59">
        <f t="shared" si="56"/>
        <v>-0.19309999999999999</v>
      </c>
      <c r="AB43" s="59">
        <f t="shared" si="56"/>
        <v>-0.29770000000000002</v>
      </c>
      <c r="AC43" s="58">
        <f t="shared" si="56"/>
        <v>0</v>
      </c>
      <c r="AD43" s="58">
        <f t="shared" si="56"/>
        <v>-0.14000000000000001</v>
      </c>
      <c r="AE43" s="58">
        <f t="shared" si="56"/>
        <v>-0.2994</v>
      </c>
      <c r="AF43" s="58">
        <f t="shared" si="56"/>
        <v>-0.71870000000000001</v>
      </c>
      <c r="AG43" s="58">
        <f t="shared" si="56"/>
        <v>-0.15260000000000001</v>
      </c>
      <c r="AH43" s="58">
        <f t="shared" si="56"/>
        <v>-0.65559999999999996</v>
      </c>
      <c r="AI43" s="58">
        <f t="shared" si="56"/>
        <v>-0.6976</v>
      </c>
      <c r="AJ43" s="59">
        <f t="shared" si="56"/>
        <v>0</v>
      </c>
      <c r="AK43" s="59">
        <f t="shared" si="56"/>
        <v>0.15359999999999999</v>
      </c>
      <c r="AL43" s="59">
        <f t="shared" si="56"/>
        <v>0.1331</v>
      </c>
      <c r="AM43" s="59">
        <f t="shared" si="56"/>
        <v>0.54779999999999995</v>
      </c>
      <c r="AN43" s="59">
        <f t="shared" si="56"/>
        <v>-0.126</v>
      </c>
      <c r="AO43" s="59">
        <f t="shared" si="56"/>
        <v>0.41520000000000001</v>
      </c>
      <c r="AP43" s="59">
        <f t="shared" si="56"/>
        <v>0.10199999999999999</v>
      </c>
      <c r="AQ43" s="58">
        <f t="shared" si="56"/>
        <v>0</v>
      </c>
      <c r="AR43" s="58">
        <f t="shared" si="56"/>
        <v>0.39410000000000001</v>
      </c>
      <c r="AS43" s="58">
        <f t="shared" si="56"/>
        <v>7.1599999999999997E-2</v>
      </c>
      <c r="AT43" s="58">
        <f t="shared" si="56"/>
        <v>0.36480000000000001</v>
      </c>
      <c r="AU43" s="58">
        <f t="shared" si="56"/>
        <v>0.23169999999999999</v>
      </c>
      <c r="AV43" s="58">
        <f t="shared" si="56"/>
        <v>9.1800000000000007E-2</v>
      </c>
      <c r="AW43" s="58">
        <f t="shared" si="56"/>
        <v>0.42709999999999998</v>
      </c>
      <c r="AX43" s="59">
        <f t="shared" si="56"/>
        <v>0</v>
      </c>
      <c r="AY43" s="59">
        <f t="shared" si="56"/>
        <v>-1.66E-2</v>
      </c>
      <c r="AZ43" s="59">
        <f t="shared" si="56"/>
        <v>1.35E-2</v>
      </c>
      <c r="BA43" s="59">
        <f t="shared" si="56"/>
        <v>-7.6999999999999999E-2</v>
      </c>
      <c r="BB43" s="59">
        <f t="shared" si="56"/>
        <v>0.1007</v>
      </c>
      <c r="BC43" s="59">
        <f t="shared" si="56"/>
        <v>0.3518</v>
      </c>
      <c r="BD43" s="59">
        <f t="shared" si="56"/>
        <v>-2.1399999999999999E-2</v>
      </c>
    </row>
    <row r="44" spans="1:56" x14ac:dyDescent="0.25">
      <c r="A44" s="58">
        <f t="shared" ref="A44:P49" si="57">ROUND(A31,4)</f>
        <v>0.14280000000000001</v>
      </c>
      <c r="B44" s="58">
        <f t="shared" si="57"/>
        <v>0</v>
      </c>
      <c r="C44" s="58">
        <f t="shared" si="57"/>
        <v>4.48E-2</v>
      </c>
      <c r="D44" s="58">
        <f t="shared" si="57"/>
        <v>0.84019999999999995</v>
      </c>
      <c r="E44" s="58">
        <f t="shared" si="57"/>
        <v>-0.2742</v>
      </c>
      <c r="F44" s="58">
        <f t="shared" si="57"/>
        <v>0.58350000000000002</v>
      </c>
      <c r="G44" s="58">
        <f t="shared" si="57"/>
        <v>-0.37780000000000002</v>
      </c>
      <c r="H44" s="59">
        <f t="shared" si="57"/>
        <v>-2.3800000000000002E-2</v>
      </c>
      <c r="I44" s="59">
        <f t="shared" si="57"/>
        <v>0</v>
      </c>
      <c r="J44" s="59">
        <f t="shared" si="57"/>
        <v>-0.36609999999999998</v>
      </c>
      <c r="K44" s="59">
        <f t="shared" si="57"/>
        <v>0.61699999999999999</v>
      </c>
      <c r="L44" s="59">
        <f t="shared" si="57"/>
        <v>-8.7900000000000006E-2</v>
      </c>
      <c r="M44" s="59">
        <f t="shared" si="57"/>
        <v>0.156</v>
      </c>
      <c r="N44" s="59">
        <f t="shared" si="57"/>
        <v>-0.5726</v>
      </c>
      <c r="O44" s="58">
        <f t="shared" si="57"/>
        <v>0.35880000000000001</v>
      </c>
      <c r="P44" s="58">
        <f t="shared" si="57"/>
        <v>0</v>
      </c>
      <c r="Q44" s="58">
        <f t="shared" si="56"/>
        <v>3.6700000000000003E-2</v>
      </c>
      <c r="R44" s="58">
        <f t="shared" si="56"/>
        <v>-4.0599999999999997E-2</v>
      </c>
      <c r="S44" s="58">
        <f t="shared" si="56"/>
        <v>-5.4999999999999997E-3</v>
      </c>
      <c r="T44" s="58">
        <f t="shared" si="56"/>
        <v>3.6200000000000003E-2</v>
      </c>
      <c r="U44" s="58">
        <f t="shared" si="56"/>
        <v>0.33189999999999997</v>
      </c>
      <c r="V44" s="59">
        <f t="shared" si="56"/>
        <v>-0.14180000000000001</v>
      </c>
      <c r="W44" s="59">
        <f t="shared" si="56"/>
        <v>0</v>
      </c>
      <c r="X44" s="59">
        <f t="shared" si="56"/>
        <v>-0.30990000000000001</v>
      </c>
      <c r="Y44" s="59">
        <f t="shared" si="56"/>
        <v>0.58640000000000003</v>
      </c>
      <c r="Z44" s="59">
        <f t="shared" si="56"/>
        <v>-0.53169999999999995</v>
      </c>
      <c r="AA44" s="59">
        <f t="shared" si="56"/>
        <v>-0.33489999999999998</v>
      </c>
      <c r="AB44" s="59">
        <f t="shared" si="56"/>
        <v>-0.4395</v>
      </c>
      <c r="AC44" s="58">
        <f t="shared" si="56"/>
        <v>0.14000000000000001</v>
      </c>
      <c r="AD44" s="58">
        <f t="shared" si="56"/>
        <v>0</v>
      </c>
      <c r="AE44" s="58">
        <f t="shared" si="56"/>
        <v>-0.15939999999999999</v>
      </c>
      <c r="AF44" s="58">
        <f t="shared" si="56"/>
        <v>-0.57869999999999999</v>
      </c>
      <c r="AG44" s="58">
        <f t="shared" si="56"/>
        <v>-1.26E-2</v>
      </c>
      <c r="AH44" s="58">
        <f t="shared" si="56"/>
        <v>-0.51559999999999995</v>
      </c>
      <c r="AI44" s="58">
        <f t="shared" si="56"/>
        <v>-0.55759999999999998</v>
      </c>
      <c r="AJ44" s="59">
        <f t="shared" si="56"/>
        <v>-0.15359999999999999</v>
      </c>
      <c r="AK44" s="59">
        <f t="shared" si="56"/>
        <v>0</v>
      </c>
      <c r="AL44" s="59">
        <f t="shared" si="56"/>
        <v>-2.0500000000000001E-2</v>
      </c>
      <c r="AM44" s="59">
        <f t="shared" si="56"/>
        <v>0.39419999999999999</v>
      </c>
      <c r="AN44" s="59">
        <f t="shared" si="56"/>
        <v>-0.27960000000000002</v>
      </c>
      <c r="AO44" s="59">
        <f t="shared" si="56"/>
        <v>0.2616</v>
      </c>
      <c r="AP44" s="59">
        <f t="shared" si="56"/>
        <v>-5.16E-2</v>
      </c>
      <c r="AQ44" s="58">
        <f t="shared" si="56"/>
        <v>-0.39410000000000001</v>
      </c>
      <c r="AR44" s="58">
        <f t="shared" si="56"/>
        <v>0</v>
      </c>
      <c r="AS44" s="58">
        <f t="shared" si="56"/>
        <v>-0.32250000000000001</v>
      </c>
      <c r="AT44" s="58">
        <f t="shared" si="56"/>
        <v>-2.93E-2</v>
      </c>
      <c r="AU44" s="58">
        <f t="shared" si="56"/>
        <v>-0.16239999999999999</v>
      </c>
      <c r="AV44" s="58">
        <f t="shared" si="56"/>
        <v>-0.30230000000000001</v>
      </c>
      <c r="AW44" s="58">
        <f t="shared" si="56"/>
        <v>3.3000000000000002E-2</v>
      </c>
      <c r="AX44" s="59">
        <f t="shared" si="56"/>
        <v>1.66E-2</v>
      </c>
      <c r="AY44" s="59">
        <f t="shared" si="56"/>
        <v>0</v>
      </c>
      <c r="AZ44" s="59">
        <f t="shared" si="56"/>
        <v>3.0099999999999998E-2</v>
      </c>
      <c r="BA44" s="59">
        <f t="shared" si="56"/>
        <v>-6.0400000000000002E-2</v>
      </c>
      <c r="BB44" s="59">
        <f t="shared" si="56"/>
        <v>0.1173</v>
      </c>
      <c r="BC44" s="59">
        <f t="shared" si="56"/>
        <v>0.36840000000000001</v>
      </c>
      <c r="BD44" s="59">
        <f t="shared" si="56"/>
        <v>-4.7999999999999996E-3</v>
      </c>
    </row>
    <row r="45" spans="1:56" x14ac:dyDescent="0.25">
      <c r="A45" s="58">
        <f t="shared" si="57"/>
        <v>9.8000000000000004E-2</v>
      </c>
      <c r="B45" s="58">
        <f t="shared" si="56"/>
        <v>-4.48E-2</v>
      </c>
      <c r="C45" s="58">
        <f t="shared" si="56"/>
        <v>0</v>
      </c>
      <c r="D45" s="58">
        <f t="shared" si="56"/>
        <v>0.7954</v>
      </c>
      <c r="E45" s="58">
        <f t="shared" si="56"/>
        <v>-0.31900000000000001</v>
      </c>
      <c r="F45" s="58">
        <f t="shared" si="56"/>
        <v>0.53869999999999996</v>
      </c>
      <c r="G45" s="58">
        <f t="shared" si="56"/>
        <v>-0.42259999999999998</v>
      </c>
      <c r="H45" s="59">
        <f t="shared" si="56"/>
        <v>0.34229999999999999</v>
      </c>
      <c r="I45" s="59">
        <f t="shared" si="56"/>
        <v>0.36609999999999998</v>
      </c>
      <c r="J45" s="59">
        <f t="shared" si="56"/>
        <v>0</v>
      </c>
      <c r="K45" s="59">
        <f t="shared" si="56"/>
        <v>0.98309999999999997</v>
      </c>
      <c r="L45" s="59">
        <f t="shared" si="56"/>
        <v>0.2782</v>
      </c>
      <c r="M45" s="59">
        <f t="shared" si="56"/>
        <v>0.52210000000000001</v>
      </c>
      <c r="N45" s="59">
        <f t="shared" si="56"/>
        <v>-0.20649999999999999</v>
      </c>
      <c r="O45" s="58">
        <f t="shared" si="56"/>
        <v>0.3221</v>
      </c>
      <c r="P45" s="58">
        <f t="shared" si="56"/>
        <v>-3.6700000000000003E-2</v>
      </c>
      <c r="Q45" s="58">
        <f t="shared" si="56"/>
        <v>0</v>
      </c>
      <c r="R45" s="58">
        <f t="shared" si="56"/>
        <v>-7.7299999999999994E-2</v>
      </c>
      <c r="S45" s="58">
        <f t="shared" si="56"/>
        <v>-4.2200000000000001E-2</v>
      </c>
      <c r="T45" s="58">
        <f t="shared" si="56"/>
        <v>-5.0000000000000001E-4</v>
      </c>
      <c r="U45" s="58">
        <f t="shared" si="56"/>
        <v>0.29520000000000002</v>
      </c>
      <c r="V45" s="59">
        <f t="shared" si="56"/>
        <v>0.1681</v>
      </c>
      <c r="W45" s="59">
        <f t="shared" si="56"/>
        <v>0.30990000000000001</v>
      </c>
      <c r="X45" s="59">
        <f t="shared" si="56"/>
        <v>0</v>
      </c>
      <c r="Y45" s="59">
        <f t="shared" si="56"/>
        <v>0.89629999999999999</v>
      </c>
      <c r="Z45" s="59">
        <f t="shared" si="56"/>
        <v>-0.2218</v>
      </c>
      <c r="AA45" s="59">
        <f t="shared" si="56"/>
        <v>-2.5000000000000001E-2</v>
      </c>
      <c r="AB45" s="59">
        <f t="shared" si="56"/>
        <v>-0.12959999999999999</v>
      </c>
      <c r="AC45" s="58">
        <f t="shared" si="56"/>
        <v>0.2994</v>
      </c>
      <c r="AD45" s="58">
        <f t="shared" si="56"/>
        <v>0.15939999999999999</v>
      </c>
      <c r="AE45" s="58">
        <f t="shared" si="56"/>
        <v>0</v>
      </c>
      <c r="AF45" s="58">
        <f t="shared" si="56"/>
        <v>-0.41930000000000001</v>
      </c>
      <c r="AG45" s="58">
        <f t="shared" si="56"/>
        <v>0.14680000000000001</v>
      </c>
      <c r="AH45" s="58">
        <f t="shared" si="56"/>
        <v>-0.35620000000000002</v>
      </c>
      <c r="AI45" s="58">
        <f t="shared" si="56"/>
        <v>-0.3982</v>
      </c>
      <c r="AJ45" s="59">
        <f t="shared" si="56"/>
        <v>-0.1331</v>
      </c>
      <c r="AK45" s="59">
        <f t="shared" si="56"/>
        <v>2.0500000000000001E-2</v>
      </c>
      <c r="AL45" s="59">
        <f t="shared" si="56"/>
        <v>0</v>
      </c>
      <c r="AM45" s="59">
        <f t="shared" si="56"/>
        <v>0.41470000000000001</v>
      </c>
      <c r="AN45" s="59">
        <f t="shared" si="56"/>
        <v>-0.2591</v>
      </c>
      <c r="AO45" s="59">
        <f t="shared" si="56"/>
        <v>0.28210000000000002</v>
      </c>
      <c r="AP45" s="59">
        <f t="shared" si="56"/>
        <v>-3.1099999999999999E-2</v>
      </c>
      <c r="AQ45" s="58">
        <f t="shared" si="56"/>
        <v>-7.1599999999999997E-2</v>
      </c>
      <c r="AR45" s="58">
        <f t="shared" si="56"/>
        <v>0.32250000000000001</v>
      </c>
      <c r="AS45" s="58">
        <f t="shared" si="56"/>
        <v>0</v>
      </c>
      <c r="AT45" s="58">
        <f t="shared" si="56"/>
        <v>0.29320000000000002</v>
      </c>
      <c r="AU45" s="58">
        <f t="shared" si="56"/>
        <v>0.16009999999999999</v>
      </c>
      <c r="AV45" s="58">
        <f t="shared" si="56"/>
        <v>2.0199999999999999E-2</v>
      </c>
      <c r="AW45" s="58">
        <f t="shared" si="56"/>
        <v>0.35549999999999998</v>
      </c>
      <c r="AX45" s="59">
        <f t="shared" si="56"/>
        <v>-1.35E-2</v>
      </c>
      <c r="AY45" s="59">
        <f t="shared" si="56"/>
        <v>-3.0099999999999998E-2</v>
      </c>
      <c r="AZ45" s="59">
        <f t="shared" si="56"/>
        <v>0</v>
      </c>
      <c r="BA45" s="59">
        <f t="shared" si="56"/>
        <v>-9.0499999999999997E-2</v>
      </c>
      <c r="BB45" s="59">
        <f t="shared" si="56"/>
        <v>8.72E-2</v>
      </c>
      <c r="BC45" s="59">
        <f t="shared" si="56"/>
        <v>0.33829999999999999</v>
      </c>
      <c r="BD45" s="59">
        <f t="shared" si="56"/>
        <v>-3.49E-2</v>
      </c>
    </row>
    <row r="46" spans="1:56" x14ac:dyDescent="0.25">
      <c r="A46" s="58">
        <f t="shared" si="57"/>
        <v>-0.69740000000000002</v>
      </c>
      <c r="B46" s="58">
        <f t="shared" si="56"/>
        <v>-0.84019999999999995</v>
      </c>
      <c r="C46" s="58">
        <f t="shared" si="56"/>
        <v>-0.7954</v>
      </c>
      <c r="D46" s="58">
        <f t="shared" si="56"/>
        <v>0</v>
      </c>
      <c r="E46" s="58">
        <f t="shared" si="56"/>
        <v>-1.1144000000000001</v>
      </c>
      <c r="F46" s="58">
        <f t="shared" si="56"/>
        <v>-0.25669999999999998</v>
      </c>
      <c r="G46" s="58">
        <f t="shared" si="56"/>
        <v>-1.218</v>
      </c>
      <c r="H46" s="59">
        <f t="shared" si="56"/>
        <v>-0.64080000000000004</v>
      </c>
      <c r="I46" s="59">
        <f t="shared" si="56"/>
        <v>-0.61699999999999999</v>
      </c>
      <c r="J46" s="59">
        <f t="shared" si="56"/>
        <v>-0.98309999999999997</v>
      </c>
      <c r="K46" s="59">
        <f t="shared" si="56"/>
        <v>0</v>
      </c>
      <c r="L46" s="59">
        <f t="shared" si="56"/>
        <v>-0.70489999999999997</v>
      </c>
      <c r="M46" s="59">
        <f t="shared" si="56"/>
        <v>-0.46100000000000002</v>
      </c>
      <c r="N46" s="59">
        <f t="shared" si="56"/>
        <v>-1.1896</v>
      </c>
      <c r="O46" s="58">
        <f t="shared" si="56"/>
        <v>0.39939999999999998</v>
      </c>
      <c r="P46" s="58">
        <f t="shared" si="56"/>
        <v>4.0599999999999997E-2</v>
      </c>
      <c r="Q46" s="58">
        <f t="shared" si="56"/>
        <v>7.7299999999999994E-2</v>
      </c>
      <c r="R46" s="58">
        <f t="shared" si="56"/>
        <v>0</v>
      </c>
      <c r="S46" s="58">
        <f t="shared" si="56"/>
        <v>3.5099999999999999E-2</v>
      </c>
      <c r="T46" s="58">
        <f t="shared" si="56"/>
        <v>7.6799999999999993E-2</v>
      </c>
      <c r="U46" s="58">
        <f t="shared" si="56"/>
        <v>0.3725</v>
      </c>
      <c r="V46" s="59">
        <f t="shared" si="56"/>
        <v>-0.72819999999999996</v>
      </c>
      <c r="W46" s="59">
        <f t="shared" si="56"/>
        <v>-0.58640000000000003</v>
      </c>
      <c r="X46" s="59">
        <f t="shared" si="56"/>
        <v>-0.89629999999999999</v>
      </c>
      <c r="Y46" s="59">
        <f t="shared" si="56"/>
        <v>0</v>
      </c>
      <c r="Z46" s="59">
        <f t="shared" si="56"/>
        <v>-1.1181000000000001</v>
      </c>
      <c r="AA46" s="59">
        <f t="shared" si="56"/>
        <v>-0.92130000000000001</v>
      </c>
      <c r="AB46" s="59">
        <f t="shared" si="56"/>
        <v>-1.0259</v>
      </c>
      <c r="AC46" s="58">
        <f t="shared" si="56"/>
        <v>0.71870000000000001</v>
      </c>
      <c r="AD46" s="58">
        <f t="shared" si="56"/>
        <v>0.57869999999999999</v>
      </c>
      <c r="AE46" s="58">
        <f t="shared" si="56"/>
        <v>0.41930000000000001</v>
      </c>
      <c r="AF46" s="58">
        <f t="shared" si="56"/>
        <v>0</v>
      </c>
      <c r="AG46" s="58">
        <f t="shared" si="56"/>
        <v>0.56610000000000005</v>
      </c>
      <c r="AH46" s="58">
        <f t="shared" si="56"/>
        <v>6.3100000000000003E-2</v>
      </c>
      <c r="AI46" s="58">
        <f t="shared" si="56"/>
        <v>2.1100000000000001E-2</v>
      </c>
      <c r="AJ46" s="59">
        <f t="shared" si="56"/>
        <v>-0.54779999999999995</v>
      </c>
      <c r="AK46" s="59">
        <f t="shared" si="56"/>
        <v>-0.39419999999999999</v>
      </c>
      <c r="AL46" s="59">
        <f t="shared" si="56"/>
        <v>-0.41470000000000001</v>
      </c>
      <c r="AM46" s="59">
        <f t="shared" si="56"/>
        <v>0</v>
      </c>
      <c r="AN46" s="59">
        <f t="shared" si="56"/>
        <v>-0.67379999999999995</v>
      </c>
      <c r="AO46" s="59">
        <f t="shared" si="56"/>
        <v>-0.1326</v>
      </c>
      <c r="AP46" s="59">
        <f t="shared" si="56"/>
        <v>-0.44579999999999997</v>
      </c>
      <c r="AQ46" s="58">
        <f t="shared" si="56"/>
        <v>-0.36480000000000001</v>
      </c>
      <c r="AR46" s="58">
        <f t="shared" si="56"/>
        <v>2.93E-2</v>
      </c>
      <c r="AS46" s="58">
        <f t="shared" si="56"/>
        <v>-0.29320000000000002</v>
      </c>
      <c r="AT46" s="58">
        <f t="shared" si="56"/>
        <v>0</v>
      </c>
      <c r="AU46" s="58">
        <f t="shared" si="56"/>
        <v>-0.1331</v>
      </c>
      <c r="AV46" s="58">
        <f t="shared" si="56"/>
        <v>-0.27300000000000002</v>
      </c>
      <c r="AW46" s="58">
        <f t="shared" si="56"/>
        <v>6.2300000000000001E-2</v>
      </c>
      <c r="AX46" s="59">
        <f t="shared" si="56"/>
        <v>7.6999999999999999E-2</v>
      </c>
      <c r="AY46" s="59">
        <f t="shared" si="56"/>
        <v>6.0400000000000002E-2</v>
      </c>
      <c r="AZ46" s="59">
        <f t="shared" si="56"/>
        <v>9.0499999999999997E-2</v>
      </c>
      <c r="BA46" s="59">
        <f t="shared" si="56"/>
        <v>0</v>
      </c>
      <c r="BB46" s="59">
        <f t="shared" si="56"/>
        <v>0.1777</v>
      </c>
      <c r="BC46" s="59">
        <f t="shared" si="56"/>
        <v>0.42880000000000001</v>
      </c>
      <c r="BD46" s="59">
        <f t="shared" si="56"/>
        <v>5.5599999999999997E-2</v>
      </c>
    </row>
    <row r="47" spans="1:56" x14ac:dyDescent="0.25">
      <c r="A47" s="58">
        <f t="shared" si="57"/>
        <v>0.41699999999999998</v>
      </c>
      <c r="B47" s="58">
        <f t="shared" si="56"/>
        <v>0.2742</v>
      </c>
      <c r="C47" s="58">
        <f t="shared" si="56"/>
        <v>0.31900000000000001</v>
      </c>
      <c r="D47" s="58">
        <f t="shared" si="56"/>
        <v>1.1144000000000001</v>
      </c>
      <c r="E47" s="58">
        <f t="shared" si="56"/>
        <v>0</v>
      </c>
      <c r="F47" s="58">
        <f t="shared" si="56"/>
        <v>0.85770000000000002</v>
      </c>
      <c r="G47" s="58">
        <f t="shared" si="56"/>
        <v>-0.1036</v>
      </c>
      <c r="H47" s="59">
        <f t="shared" si="56"/>
        <v>6.4100000000000004E-2</v>
      </c>
      <c r="I47" s="59">
        <f t="shared" si="56"/>
        <v>8.7900000000000006E-2</v>
      </c>
      <c r="J47" s="59">
        <f t="shared" si="56"/>
        <v>-0.2782</v>
      </c>
      <c r="K47" s="59">
        <f t="shared" si="56"/>
        <v>0.70489999999999997</v>
      </c>
      <c r="L47" s="59">
        <f t="shared" si="56"/>
        <v>0</v>
      </c>
      <c r="M47" s="59">
        <f t="shared" si="56"/>
        <v>0.24390000000000001</v>
      </c>
      <c r="N47" s="59">
        <f t="shared" si="56"/>
        <v>-0.48470000000000002</v>
      </c>
      <c r="O47" s="58">
        <f t="shared" si="56"/>
        <v>0.36430000000000001</v>
      </c>
      <c r="P47" s="58">
        <f t="shared" si="56"/>
        <v>5.4999999999999997E-3</v>
      </c>
      <c r="Q47" s="58">
        <f t="shared" si="56"/>
        <v>4.2200000000000001E-2</v>
      </c>
      <c r="R47" s="58">
        <f t="shared" si="56"/>
        <v>-3.5099999999999999E-2</v>
      </c>
      <c r="S47" s="58">
        <f t="shared" si="56"/>
        <v>0</v>
      </c>
      <c r="T47" s="58">
        <f t="shared" si="56"/>
        <v>4.1700000000000001E-2</v>
      </c>
      <c r="U47" s="58">
        <f t="shared" si="56"/>
        <v>0.33739999999999998</v>
      </c>
      <c r="V47" s="59">
        <f t="shared" si="56"/>
        <v>0.38990000000000002</v>
      </c>
      <c r="W47" s="59">
        <f t="shared" si="56"/>
        <v>0.53169999999999995</v>
      </c>
      <c r="X47" s="59">
        <f t="shared" si="56"/>
        <v>0.2218</v>
      </c>
      <c r="Y47" s="59">
        <f t="shared" si="56"/>
        <v>1.1181000000000001</v>
      </c>
      <c r="Z47" s="59">
        <f t="shared" si="56"/>
        <v>0</v>
      </c>
      <c r="AA47" s="59">
        <f t="shared" si="56"/>
        <v>0.1968</v>
      </c>
      <c r="AB47" s="59">
        <f t="shared" si="56"/>
        <v>9.2200000000000004E-2</v>
      </c>
      <c r="AC47" s="58">
        <f t="shared" si="56"/>
        <v>0.15260000000000001</v>
      </c>
      <c r="AD47" s="58">
        <f t="shared" si="56"/>
        <v>1.26E-2</v>
      </c>
      <c r="AE47" s="58">
        <f t="shared" si="56"/>
        <v>-0.14680000000000001</v>
      </c>
      <c r="AF47" s="58">
        <f t="shared" si="56"/>
        <v>-0.56610000000000005</v>
      </c>
      <c r="AG47" s="58">
        <f t="shared" si="56"/>
        <v>0</v>
      </c>
      <c r="AH47" s="58">
        <f t="shared" si="56"/>
        <v>-0.503</v>
      </c>
      <c r="AI47" s="58">
        <f t="shared" si="56"/>
        <v>-0.54500000000000004</v>
      </c>
      <c r="AJ47" s="59">
        <f t="shared" si="56"/>
        <v>0.126</v>
      </c>
      <c r="AK47" s="59">
        <f t="shared" si="56"/>
        <v>0.27960000000000002</v>
      </c>
      <c r="AL47" s="59">
        <f t="shared" si="56"/>
        <v>0.2591</v>
      </c>
      <c r="AM47" s="59">
        <f t="shared" si="56"/>
        <v>0.67379999999999995</v>
      </c>
      <c r="AN47" s="59">
        <f t="shared" si="56"/>
        <v>0</v>
      </c>
      <c r="AO47" s="59">
        <f t="shared" si="56"/>
        <v>0.54120000000000001</v>
      </c>
      <c r="AP47" s="59">
        <f t="shared" si="56"/>
        <v>0.22800000000000001</v>
      </c>
      <c r="AQ47" s="58">
        <f t="shared" si="56"/>
        <v>-0.23169999999999999</v>
      </c>
      <c r="AR47" s="58">
        <f t="shared" si="56"/>
        <v>0.16239999999999999</v>
      </c>
      <c r="AS47" s="58">
        <f t="shared" si="56"/>
        <v>-0.16009999999999999</v>
      </c>
      <c r="AT47" s="58">
        <f t="shared" si="56"/>
        <v>0.1331</v>
      </c>
      <c r="AU47" s="58">
        <f t="shared" si="56"/>
        <v>0</v>
      </c>
      <c r="AV47" s="58">
        <f t="shared" si="56"/>
        <v>-0.1399</v>
      </c>
      <c r="AW47" s="58">
        <f t="shared" si="56"/>
        <v>0.19539999999999999</v>
      </c>
      <c r="AX47" s="59">
        <f t="shared" si="56"/>
        <v>-0.1007</v>
      </c>
      <c r="AY47" s="59">
        <f t="shared" si="56"/>
        <v>-0.1173</v>
      </c>
      <c r="AZ47" s="59">
        <f t="shared" ref="B47:BD49" si="58">ROUND(AZ34,4)</f>
        <v>-8.72E-2</v>
      </c>
      <c r="BA47" s="59">
        <f t="shared" si="58"/>
        <v>-0.1777</v>
      </c>
      <c r="BB47" s="59">
        <f t="shared" si="58"/>
        <v>0</v>
      </c>
      <c r="BC47" s="59">
        <f t="shared" si="58"/>
        <v>0.25109999999999999</v>
      </c>
      <c r="BD47" s="59">
        <f t="shared" si="58"/>
        <v>-0.1221</v>
      </c>
    </row>
    <row r="48" spans="1:56" x14ac:dyDescent="0.25">
      <c r="A48" s="58">
        <f t="shared" si="57"/>
        <v>-0.44069999999999998</v>
      </c>
      <c r="B48" s="58">
        <f t="shared" si="58"/>
        <v>-0.58350000000000002</v>
      </c>
      <c r="C48" s="58">
        <f t="shared" si="58"/>
        <v>-0.53869999999999996</v>
      </c>
      <c r="D48" s="58">
        <f t="shared" si="58"/>
        <v>0.25669999999999998</v>
      </c>
      <c r="E48" s="58">
        <f t="shared" si="58"/>
        <v>-0.85770000000000002</v>
      </c>
      <c r="F48" s="58">
        <f t="shared" si="58"/>
        <v>0</v>
      </c>
      <c r="G48" s="58">
        <f t="shared" si="58"/>
        <v>-0.96130000000000004</v>
      </c>
      <c r="H48" s="59">
        <f t="shared" si="58"/>
        <v>-0.17979999999999999</v>
      </c>
      <c r="I48" s="59">
        <f t="shared" si="58"/>
        <v>-0.156</v>
      </c>
      <c r="J48" s="59">
        <f t="shared" si="58"/>
        <v>-0.52210000000000001</v>
      </c>
      <c r="K48" s="59">
        <f t="shared" si="58"/>
        <v>0.46100000000000002</v>
      </c>
      <c r="L48" s="59">
        <f t="shared" si="58"/>
        <v>-0.24390000000000001</v>
      </c>
      <c r="M48" s="59">
        <f t="shared" si="58"/>
        <v>0</v>
      </c>
      <c r="N48" s="59">
        <f t="shared" si="58"/>
        <v>-0.72860000000000003</v>
      </c>
      <c r="O48" s="58">
        <f t="shared" si="58"/>
        <v>0.3226</v>
      </c>
      <c r="P48" s="58">
        <f t="shared" si="58"/>
        <v>-3.6200000000000003E-2</v>
      </c>
      <c r="Q48" s="58">
        <f t="shared" si="58"/>
        <v>5.0000000000000001E-4</v>
      </c>
      <c r="R48" s="58">
        <f t="shared" si="58"/>
        <v>-7.6799999999999993E-2</v>
      </c>
      <c r="S48" s="58">
        <f t="shared" si="58"/>
        <v>-4.1700000000000001E-2</v>
      </c>
      <c r="T48" s="58">
        <f t="shared" si="58"/>
        <v>0</v>
      </c>
      <c r="U48" s="58">
        <f t="shared" si="58"/>
        <v>0.29570000000000002</v>
      </c>
      <c r="V48" s="59">
        <f t="shared" si="58"/>
        <v>0.19309999999999999</v>
      </c>
      <c r="W48" s="59">
        <f t="shared" si="58"/>
        <v>0.33489999999999998</v>
      </c>
      <c r="X48" s="59">
        <f t="shared" si="58"/>
        <v>2.5000000000000001E-2</v>
      </c>
      <c r="Y48" s="59">
        <f t="shared" si="58"/>
        <v>0.92130000000000001</v>
      </c>
      <c r="Z48" s="59">
        <f t="shared" si="58"/>
        <v>-0.1968</v>
      </c>
      <c r="AA48" s="59">
        <f t="shared" si="58"/>
        <v>0</v>
      </c>
      <c r="AB48" s="59">
        <f t="shared" si="58"/>
        <v>-0.1046</v>
      </c>
      <c r="AC48" s="58">
        <f t="shared" si="58"/>
        <v>0.65559999999999996</v>
      </c>
      <c r="AD48" s="58">
        <f t="shared" si="58"/>
        <v>0.51559999999999995</v>
      </c>
      <c r="AE48" s="58">
        <f t="shared" si="58"/>
        <v>0.35620000000000002</v>
      </c>
      <c r="AF48" s="58">
        <f t="shared" si="58"/>
        <v>-6.3100000000000003E-2</v>
      </c>
      <c r="AG48" s="58">
        <f t="shared" si="58"/>
        <v>0.503</v>
      </c>
      <c r="AH48" s="58">
        <f t="shared" si="58"/>
        <v>0</v>
      </c>
      <c r="AI48" s="58">
        <f t="shared" si="58"/>
        <v>-4.2000000000000003E-2</v>
      </c>
      <c r="AJ48" s="59">
        <f t="shared" si="58"/>
        <v>-0.41520000000000001</v>
      </c>
      <c r="AK48" s="59">
        <f t="shared" si="58"/>
        <v>-0.2616</v>
      </c>
      <c r="AL48" s="59">
        <f t="shared" si="58"/>
        <v>-0.28210000000000002</v>
      </c>
      <c r="AM48" s="59">
        <f t="shared" si="58"/>
        <v>0.1326</v>
      </c>
      <c r="AN48" s="59">
        <f t="shared" si="58"/>
        <v>-0.54120000000000001</v>
      </c>
      <c r="AO48" s="59">
        <f t="shared" si="58"/>
        <v>0</v>
      </c>
      <c r="AP48" s="59">
        <f t="shared" si="58"/>
        <v>-0.31319999999999998</v>
      </c>
      <c r="AQ48" s="58">
        <f t="shared" si="58"/>
        <v>-9.1800000000000007E-2</v>
      </c>
      <c r="AR48" s="58">
        <f t="shared" si="58"/>
        <v>0.30230000000000001</v>
      </c>
      <c r="AS48" s="58">
        <f t="shared" si="58"/>
        <v>-2.0199999999999999E-2</v>
      </c>
      <c r="AT48" s="58">
        <f t="shared" si="58"/>
        <v>0.27300000000000002</v>
      </c>
      <c r="AU48" s="58">
        <f t="shared" si="58"/>
        <v>0.1399</v>
      </c>
      <c r="AV48" s="58">
        <f t="shared" si="58"/>
        <v>0</v>
      </c>
      <c r="AW48" s="58">
        <f t="shared" si="58"/>
        <v>0.33529999999999999</v>
      </c>
      <c r="AX48" s="59">
        <f t="shared" si="58"/>
        <v>-0.3518</v>
      </c>
      <c r="AY48" s="59">
        <f t="shared" si="58"/>
        <v>-0.36840000000000001</v>
      </c>
      <c r="AZ48" s="59">
        <f t="shared" si="58"/>
        <v>-0.33829999999999999</v>
      </c>
      <c r="BA48" s="59">
        <f t="shared" si="58"/>
        <v>-0.42880000000000001</v>
      </c>
      <c r="BB48" s="59">
        <f t="shared" si="58"/>
        <v>-0.25109999999999999</v>
      </c>
      <c r="BC48" s="59">
        <f t="shared" si="58"/>
        <v>0</v>
      </c>
      <c r="BD48" s="59">
        <f t="shared" si="58"/>
        <v>-0.37319999999999998</v>
      </c>
    </row>
    <row r="49" spans="1:56" x14ac:dyDescent="0.25">
      <c r="A49" s="58">
        <f t="shared" si="57"/>
        <v>0.52059999999999995</v>
      </c>
      <c r="B49" s="58">
        <f t="shared" si="58"/>
        <v>0.37780000000000002</v>
      </c>
      <c r="C49" s="58">
        <f t="shared" si="58"/>
        <v>0.42259999999999998</v>
      </c>
      <c r="D49" s="58">
        <f t="shared" si="58"/>
        <v>1.218</v>
      </c>
      <c r="E49" s="58">
        <f t="shared" si="58"/>
        <v>0.1036</v>
      </c>
      <c r="F49" s="58">
        <f t="shared" si="58"/>
        <v>0.96130000000000004</v>
      </c>
      <c r="G49" s="58">
        <f t="shared" si="58"/>
        <v>0</v>
      </c>
      <c r="H49" s="59">
        <f t="shared" si="58"/>
        <v>0.54879999999999995</v>
      </c>
      <c r="I49" s="59">
        <f t="shared" si="58"/>
        <v>0.5726</v>
      </c>
      <c r="J49" s="59">
        <f t="shared" si="58"/>
        <v>0.20649999999999999</v>
      </c>
      <c r="K49" s="59">
        <f t="shared" si="58"/>
        <v>1.1896</v>
      </c>
      <c r="L49" s="59">
        <f t="shared" si="58"/>
        <v>0.48470000000000002</v>
      </c>
      <c r="M49" s="59">
        <f t="shared" si="58"/>
        <v>0.72860000000000003</v>
      </c>
      <c r="N49" s="59">
        <f t="shared" si="58"/>
        <v>0</v>
      </c>
      <c r="O49" s="58">
        <f t="shared" si="58"/>
        <v>2.69E-2</v>
      </c>
      <c r="P49" s="58">
        <f t="shared" si="58"/>
        <v>-0.33189999999999997</v>
      </c>
      <c r="Q49" s="58">
        <f t="shared" si="58"/>
        <v>-0.29520000000000002</v>
      </c>
      <c r="R49" s="58">
        <f t="shared" si="58"/>
        <v>-0.3725</v>
      </c>
      <c r="S49" s="58">
        <f t="shared" si="58"/>
        <v>-0.33739999999999998</v>
      </c>
      <c r="T49" s="58">
        <f t="shared" si="58"/>
        <v>-0.29570000000000002</v>
      </c>
      <c r="U49" s="58">
        <f t="shared" si="58"/>
        <v>0</v>
      </c>
      <c r="V49" s="59">
        <f t="shared" si="58"/>
        <v>0.29770000000000002</v>
      </c>
      <c r="W49" s="59">
        <f t="shared" si="58"/>
        <v>0.4395</v>
      </c>
      <c r="X49" s="59">
        <f t="shared" si="58"/>
        <v>0.12959999999999999</v>
      </c>
      <c r="Y49" s="59">
        <f t="shared" si="58"/>
        <v>1.0259</v>
      </c>
      <c r="Z49" s="59">
        <f t="shared" si="58"/>
        <v>-9.2200000000000004E-2</v>
      </c>
      <c r="AA49" s="59">
        <f t="shared" si="58"/>
        <v>0.1046</v>
      </c>
      <c r="AB49" s="59">
        <f t="shared" si="58"/>
        <v>0</v>
      </c>
      <c r="AC49" s="58">
        <f t="shared" si="58"/>
        <v>0.6976</v>
      </c>
      <c r="AD49" s="58">
        <f t="shared" si="58"/>
        <v>0.55759999999999998</v>
      </c>
      <c r="AE49" s="58">
        <f t="shared" si="58"/>
        <v>0.3982</v>
      </c>
      <c r="AF49" s="58">
        <f t="shared" si="58"/>
        <v>-2.1100000000000001E-2</v>
      </c>
      <c r="AG49" s="58">
        <f t="shared" si="58"/>
        <v>0.54500000000000004</v>
      </c>
      <c r="AH49" s="58">
        <f t="shared" si="58"/>
        <v>4.2000000000000003E-2</v>
      </c>
      <c r="AI49" s="58">
        <f t="shared" si="58"/>
        <v>0</v>
      </c>
      <c r="AJ49" s="59">
        <f t="shared" si="58"/>
        <v>-0.10199999999999999</v>
      </c>
      <c r="AK49" s="59">
        <f t="shared" si="58"/>
        <v>5.16E-2</v>
      </c>
      <c r="AL49" s="59">
        <f t="shared" si="58"/>
        <v>3.1099999999999999E-2</v>
      </c>
      <c r="AM49" s="59">
        <f t="shared" si="58"/>
        <v>0.44579999999999997</v>
      </c>
      <c r="AN49" s="59">
        <f t="shared" si="58"/>
        <v>-0.22800000000000001</v>
      </c>
      <c r="AO49" s="59">
        <f t="shared" si="58"/>
        <v>0.31319999999999998</v>
      </c>
      <c r="AP49" s="59">
        <f t="shared" si="58"/>
        <v>0</v>
      </c>
      <c r="AQ49" s="58">
        <f t="shared" si="58"/>
        <v>-0.42709999999999998</v>
      </c>
      <c r="AR49" s="58">
        <f t="shared" si="58"/>
        <v>-3.3000000000000002E-2</v>
      </c>
      <c r="AS49" s="58">
        <f t="shared" si="58"/>
        <v>-0.35549999999999998</v>
      </c>
      <c r="AT49" s="58">
        <f t="shared" si="58"/>
        <v>-6.2300000000000001E-2</v>
      </c>
      <c r="AU49" s="58">
        <f t="shared" si="58"/>
        <v>-0.19539999999999999</v>
      </c>
      <c r="AV49" s="58">
        <f t="shared" si="58"/>
        <v>-0.33529999999999999</v>
      </c>
      <c r="AW49" s="58">
        <f t="shared" si="58"/>
        <v>0</v>
      </c>
      <c r="AX49" s="59">
        <f t="shared" si="58"/>
        <v>2.1399999999999999E-2</v>
      </c>
      <c r="AY49" s="59">
        <f t="shared" si="58"/>
        <v>4.7999999999999996E-3</v>
      </c>
      <c r="AZ49" s="59">
        <f t="shared" si="58"/>
        <v>3.49E-2</v>
      </c>
      <c r="BA49" s="59">
        <f t="shared" si="58"/>
        <v>-5.5599999999999997E-2</v>
      </c>
      <c r="BB49" s="59">
        <f t="shared" si="58"/>
        <v>0.1221</v>
      </c>
      <c r="BC49" s="59">
        <f t="shared" si="58"/>
        <v>0.37319999999999998</v>
      </c>
      <c r="BD49" s="59">
        <f t="shared" si="58"/>
        <v>0</v>
      </c>
    </row>
    <row r="53" spans="1:56" x14ac:dyDescent="0.25">
      <c r="A53" s="89" t="s">
        <v>161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</row>
    <row r="54" spans="1:56" x14ac:dyDescent="0.25">
      <c r="A54" s="11">
        <v>1</v>
      </c>
      <c r="B54" s="11">
        <v>2</v>
      </c>
      <c r="C54" s="11">
        <v>3</v>
      </c>
      <c r="D54" s="11">
        <v>4</v>
      </c>
      <c r="E54" s="11">
        <v>5</v>
      </c>
      <c r="F54" s="11">
        <v>6</v>
      </c>
      <c r="G54" s="11">
        <v>7</v>
      </c>
      <c r="H54" s="11">
        <v>1</v>
      </c>
      <c r="I54" s="11">
        <v>2</v>
      </c>
      <c r="J54" s="11">
        <v>3</v>
      </c>
      <c r="K54" s="11">
        <v>4</v>
      </c>
      <c r="L54" s="11">
        <v>5</v>
      </c>
      <c r="M54" s="11">
        <v>6</v>
      </c>
      <c r="N54" s="11">
        <v>7</v>
      </c>
      <c r="O54" s="11">
        <v>1</v>
      </c>
      <c r="P54" s="11">
        <v>2</v>
      </c>
      <c r="Q54" s="11">
        <v>3</v>
      </c>
      <c r="R54" s="11">
        <v>4</v>
      </c>
      <c r="S54" s="11">
        <v>5</v>
      </c>
      <c r="T54" s="11">
        <v>6</v>
      </c>
      <c r="U54" s="11">
        <v>7</v>
      </c>
      <c r="V54" s="11">
        <v>1</v>
      </c>
      <c r="W54" s="11">
        <v>2</v>
      </c>
      <c r="X54" s="11">
        <v>3</v>
      </c>
      <c r="Y54" s="11">
        <v>4</v>
      </c>
      <c r="Z54" s="11">
        <v>5</v>
      </c>
      <c r="AA54" s="11">
        <v>6</v>
      </c>
      <c r="AB54" s="11">
        <v>7</v>
      </c>
      <c r="AC54" s="11">
        <v>1</v>
      </c>
      <c r="AD54" s="11">
        <v>2</v>
      </c>
      <c r="AE54" s="11">
        <v>3</v>
      </c>
      <c r="AF54" s="11">
        <v>4</v>
      </c>
      <c r="AG54" s="11">
        <v>5</v>
      </c>
      <c r="AH54" s="11">
        <v>6</v>
      </c>
      <c r="AI54" s="11">
        <v>7</v>
      </c>
      <c r="AJ54" s="11">
        <v>1</v>
      </c>
      <c r="AK54" s="11">
        <v>2</v>
      </c>
      <c r="AL54" s="11">
        <v>3</v>
      </c>
      <c r="AM54" s="11">
        <v>4</v>
      </c>
      <c r="AN54" s="11">
        <v>5</v>
      </c>
      <c r="AO54" s="11">
        <v>6</v>
      </c>
      <c r="AP54" s="11">
        <v>7</v>
      </c>
      <c r="AQ54" s="11">
        <v>1</v>
      </c>
      <c r="AR54" s="11">
        <v>2</v>
      </c>
      <c r="AS54" s="11">
        <v>3</v>
      </c>
      <c r="AT54" s="11">
        <v>4</v>
      </c>
      <c r="AU54" s="11">
        <v>5</v>
      </c>
      <c r="AV54" s="11">
        <v>6</v>
      </c>
      <c r="AW54" s="11">
        <v>7</v>
      </c>
      <c r="AX54" s="11">
        <v>1</v>
      </c>
      <c r="AY54" s="11">
        <v>2</v>
      </c>
      <c r="AZ54" s="11">
        <v>3</v>
      </c>
      <c r="BA54" s="11">
        <v>4</v>
      </c>
      <c r="BB54" s="11">
        <v>5</v>
      </c>
      <c r="BC54" s="11">
        <v>6</v>
      </c>
      <c r="BD54" s="11">
        <v>7</v>
      </c>
    </row>
    <row r="55" spans="1:56" x14ac:dyDescent="0.25">
      <c r="A55" s="113" t="s">
        <v>150</v>
      </c>
      <c r="B55" s="113"/>
      <c r="C55" s="113"/>
      <c r="D55" s="113"/>
      <c r="E55" s="113"/>
      <c r="F55" s="113"/>
      <c r="G55" s="113"/>
      <c r="H55" s="115" t="s">
        <v>151</v>
      </c>
      <c r="I55" s="115"/>
      <c r="J55" s="115"/>
      <c r="K55" s="115"/>
      <c r="L55" s="115"/>
      <c r="M55" s="115"/>
      <c r="N55" s="115"/>
      <c r="O55" s="116" t="s">
        <v>152</v>
      </c>
      <c r="P55" s="117"/>
      <c r="Q55" s="117"/>
      <c r="R55" s="117"/>
      <c r="S55" s="117"/>
      <c r="T55" s="117"/>
      <c r="U55" s="118"/>
      <c r="V55" s="115" t="s">
        <v>153</v>
      </c>
      <c r="W55" s="115"/>
      <c r="X55" s="115"/>
      <c r="Y55" s="115"/>
      <c r="Z55" s="115"/>
      <c r="AA55" s="115"/>
      <c r="AB55" s="115"/>
      <c r="AC55" s="116" t="s">
        <v>154</v>
      </c>
      <c r="AD55" s="117"/>
      <c r="AE55" s="117"/>
      <c r="AF55" s="117"/>
      <c r="AG55" s="117"/>
      <c r="AH55" s="117"/>
      <c r="AI55" s="118"/>
      <c r="AJ55" s="119" t="s">
        <v>156</v>
      </c>
      <c r="AK55" s="120"/>
      <c r="AL55" s="120"/>
      <c r="AM55" s="120"/>
      <c r="AN55" s="120"/>
      <c r="AO55" s="120"/>
      <c r="AP55" s="121"/>
      <c r="AQ55" s="116" t="s">
        <v>155</v>
      </c>
      <c r="AR55" s="117"/>
      <c r="AS55" s="117"/>
      <c r="AT55" s="117"/>
      <c r="AU55" s="117"/>
      <c r="AV55" s="117"/>
      <c r="AW55" s="118"/>
      <c r="AX55" s="119" t="s">
        <v>157</v>
      </c>
      <c r="AY55" s="120"/>
      <c r="AZ55" s="120"/>
      <c r="BA55" s="120"/>
      <c r="BB55" s="120"/>
      <c r="BC55" s="120"/>
      <c r="BD55" s="121"/>
    </row>
    <row r="56" spans="1:56" x14ac:dyDescent="0.25">
      <c r="A56" s="58">
        <v>0</v>
      </c>
      <c r="B56" s="58">
        <v>-0.14280000000000001</v>
      </c>
      <c r="C56" s="58">
        <v>-9.8000000000000004E-2</v>
      </c>
      <c r="D56" s="58">
        <v>0.69740000000000002</v>
      </c>
      <c r="E56" s="58">
        <v>-0.41699999999999998</v>
      </c>
      <c r="F56" s="58">
        <v>0.44069999999999998</v>
      </c>
      <c r="G56" s="58">
        <v>-0.52059999999999995</v>
      </c>
      <c r="H56" s="59">
        <v>0</v>
      </c>
      <c r="I56" s="59">
        <v>2.3800000000000002E-2</v>
      </c>
      <c r="J56" s="59">
        <v>-0.34229999999999999</v>
      </c>
      <c r="K56" s="59">
        <v>0.64080000000000004</v>
      </c>
      <c r="L56" s="59">
        <v>-6.4100000000000004E-2</v>
      </c>
      <c r="M56" s="59">
        <v>0.17979999999999999</v>
      </c>
      <c r="N56" s="59">
        <v>-0.54879999999999995</v>
      </c>
      <c r="O56" s="58">
        <v>0</v>
      </c>
      <c r="P56" s="58">
        <v>-0.35880000000000001</v>
      </c>
      <c r="Q56" s="58">
        <v>-0.3221</v>
      </c>
      <c r="R56" s="58">
        <v>-0.39939999999999998</v>
      </c>
      <c r="S56" s="58">
        <v>-0.36430000000000001</v>
      </c>
      <c r="T56" s="58">
        <v>-0.3226</v>
      </c>
      <c r="U56" s="58">
        <v>-2.69E-2</v>
      </c>
      <c r="V56" s="59">
        <v>0</v>
      </c>
      <c r="W56" s="59">
        <v>0.14180000000000001</v>
      </c>
      <c r="X56" s="59">
        <v>-0.1681</v>
      </c>
      <c r="Y56" s="59">
        <v>0.72819999999999996</v>
      </c>
      <c r="Z56" s="59">
        <v>-0.38990000000000002</v>
      </c>
      <c r="AA56" s="59">
        <v>-0.19309999999999999</v>
      </c>
      <c r="AB56" s="59">
        <v>-0.29770000000000002</v>
      </c>
      <c r="AC56" s="58">
        <v>0</v>
      </c>
      <c r="AD56" s="58">
        <v>-0.14000000000000001</v>
      </c>
      <c r="AE56" s="58">
        <v>-0.2994</v>
      </c>
      <c r="AF56" s="58">
        <v>-0.71870000000000001</v>
      </c>
      <c r="AG56" s="58">
        <v>-0.15260000000000001</v>
      </c>
      <c r="AH56" s="58">
        <v>-0.65559999999999996</v>
      </c>
      <c r="AI56" s="58">
        <v>-0.6976</v>
      </c>
      <c r="AJ56" s="59">
        <v>0</v>
      </c>
      <c r="AK56" s="59">
        <v>0.15359999999999999</v>
      </c>
      <c r="AL56" s="59">
        <v>0.1331</v>
      </c>
      <c r="AM56" s="59">
        <v>0.54779999999999995</v>
      </c>
      <c r="AN56" s="59">
        <v>-0.126</v>
      </c>
      <c r="AO56" s="59">
        <v>0.41520000000000001</v>
      </c>
      <c r="AP56" s="59">
        <v>0.10199999999999999</v>
      </c>
      <c r="AQ56" s="58">
        <v>0</v>
      </c>
      <c r="AR56" s="58">
        <v>0.39410000000000001</v>
      </c>
      <c r="AS56" s="58">
        <v>7.1599999999999997E-2</v>
      </c>
      <c r="AT56" s="58">
        <v>0.36480000000000001</v>
      </c>
      <c r="AU56" s="58">
        <v>0.23169999999999999</v>
      </c>
      <c r="AV56" s="58">
        <v>9.1800000000000007E-2</v>
      </c>
      <c r="AW56" s="58">
        <v>0.42709999999999998</v>
      </c>
      <c r="AX56" s="59">
        <v>0</v>
      </c>
      <c r="AY56" s="59">
        <v>-1.66E-2</v>
      </c>
      <c r="AZ56" s="59">
        <v>1.35E-2</v>
      </c>
      <c r="BA56" s="59">
        <v>-7.6999999999999999E-2</v>
      </c>
      <c r="BB56" s="59">
        <v>0.1007</v>
      </c>
      <c r="BC56" s="59">
        <v>0.3518</v>
      </c>
      <c r="BD56" s="59">
        <v>-2.1399999999999999E-2</v>
      </c>
    </row>
    <row r="57" spans="1:56" x14ac:dyDescent="0.25">
      <c r="A57" s="58">
        <v>0.14280000000000001</v>
      </c>
      <c r="B57" s="58">
        <v>0</v>
      </c>
      <c r="C57" s="58">
        <v>4.48E-2</v>
      </c>
      <c r="D57" s="58">
        <v>0.84019999999999995</v>
      </c>
      <c r="E57" s="58">
        <v>-0.2742</v>
      </c>
      <c r="F57" s="58">
        <v>0.58350000000000002</v>
      </c>
      <c r="G57" s="58">
        <v>-0.37780000000000002</v>
      </c>
      <c r="H57" s="59">
        <v>-2.3800000000000002E-2</v>
      </c>
      <c r="I57" s="59">
        <v>0</v>
      </c>
      <c r="J57" s="59">
        <v>-0.36609999999999998</v>
      </c>
      <c r="K57" s="59">
        <v>0.61699999999999999</v>
      </c>
      <c r="L57" s="59">
        <v>-8.7900000000000006E-2</v>
      </c>
      <c r="M57" s="59">
        <v>0.156</v>
      </c>
      <c r="N57" s="59">
        <v>-0.5726</v>
      </c>
      <c r="O57" s="58">
        <v>0.35880000000000001</v>
      </c>
      <c r="P57" s="58">
        <v>0</v>
      </c>
      <c r="Q57" s="58">
        <v>3.6700000000000003E-2</v>
      </c>
      <c r="R57" s="58">
        <v>-4.0599999999999997E-2</v>
      </c>
      <c r="S57" s="58">
        <v>-5.4999999999999997E-3</v>
      </c>
      <c r="T57" s="58">
        <v>3.6200000000000003E-2</v>
      </c>
      <c r="U57" s="58">
        <v>0.33189999999999997</v>
      </c>
      <c r="V57" s="59">
        <v>-0.14180000000000001</v>
      </c>
      <c r="W57" s="59">
        <v>0</v>
      </c>
      <c r="X57" s="59">
        <v>-0.30990000000000001</v>
      </c>
      <c r="Y57" s="59">
        <v>0.58640000000000003</v>
      </c>
      <c r="Z57" s="59">
        <v>-0.53169999999999995</v>
      </c>
      <c r="AA57" s="59">
        <v>-0.33489999999999998</v>
      </c>
      <c r="AB57" s="59">
        <v>-0.4395</v>
      </c>
      <c r="AC57" s="58">
        <v>0.14000000000000001</v>
      </c>
      <c r="AD57" s="58">
        <v>0</v>
      </c>
      <c r="AE57" s="58">
        <v>-0.15939999999999999</v>
      </c>
      <c r="AF57" s="58">
        <v>-0.57869999999999999</v>
      </c>
      <c r="AG57" s="58">
        <v>-1.26E-2</v>
      </c>
      <c r="AH57" s="58">
        <v>-0.51559999999999995</v>
      </c>
      <c r="AI57" s="58">
        <v>-0.55759999999999998</v>
      </c>
      <c r="AJ57" s="59">
        <v>-0.15359999999999999</v>
      </c>
      <c r="AK57" s="59">
        <v>0</v>
      </c>
      <c r="AL57" s="59">
        <v>-2.0500000000000001E-2</v>
      </c>
      <c r="AM57" s="59">
        <v>0.39419999999999999</v>
      </c>
      <c r="AN57" s="59">
        <v>-0.27960000000000002</v>
      </c>
      <c r="AO57" s="59">
        <v>0.2616</v>
      </c>
      <c r="AP57" s="59">
        <v>-5.16E-2</v>
      </c>
      <c r="AQ57" s="58">
        <v>-0.39410000000000001</v>
      </c>
      <c r="AR57" s="58">
        <v>0</v>
      </c>
      <c r="AS57" s="58">
        <v>-0.32250000000000001</v>
      </c>
      <c r="AT57" s="58">
        <v>-2.93E-2</v>
      </c>
      <c r="AU57" s="58">
        <v>-0.16239999999999999</v>
      </c>
      <c r="AV57" s="58">
        <v>-0.30230000000000001</v>
      </c>
      <c r="AW57" s="58">
        <v>3.3000000000000002E-2</v>
      </c>
      <c r="AX57" s="59">
        <v>1.66E-2</v>
      </c>
      <c r="AY57" s="59">
        <v>0</v>
      </c>
      <c r="AZ57" s="59">
        <v>3.0099999999999998E-2</v>
      </c>
      <c r="BA57" s="59">
        <v>-6.0400000000000002E-2</v>
      </c>
      <c r="BB57" s="59">
        <v>0.1173</v>
      </c>
      <c r="BC57" s="59">
        <v>0.36840000000000001</v>
      </c>
      <c r="BD57" s="59">
        <v>-4.7999999999999996E-3</v>
      </c>
    </row>
    <row r="58" spans="1:56" x14ac:dyDescent="0.25">
      <c r="A58" s="58">
        <v>9.8000000000000004E-2</v>
      </c>
      <c r="B58" s="58">
        <v>-4.48E-2</v>
      </c>
      <c r="C58" s="58">
        <v>0</v>
      </c>
      <c r="D58" s="58">
        <v>0.7954</v>
      </c>
      <c r="E58" s="58">
        <v>-0.31900000000000001</v>
      </c>
      <c r="F58" s="58">
        <v>0.53869999999999996</v>
      </c>
      <c r="G58" s="58">
        <v>-0.42259999999999998</v>
      </c>
      <c r="H58" s="59">
        <v>0.34229999999999999</v>
      </c>
      <c r="I58" s="59">
        <v>0.36609999999999998</v>
      </c>
      <c r="J58" s="59">
        <v>0</v>
      </c>
      <c r="K58" s="59">
        <v>0.98309999999999997</v>
      </c>
      <c r="L58" s="59">
        <v>0.2782</v>
      </c>
      <c r="M58" s="59">
        <v>0.52210000000000001</v>
      </c>
      <c r="N58" s="59">
        <v>-0.20649999999999999</v>
      </c>
      <c r="O58" s="58">
        <v>0.3221</v>
      </c>
      <c r="P58" s="58">
        <v>-3.6700000000000003E-2</v>
      </c>
      <c r="Q58" s="58">
        <v>0</v>
      </c>
      <c r="R58" s="58">
        <v>-7.7299999999999994E-2</v>
      </c>
      <c r="S58" s="58">
        <v>-4.2200000000000001E-2</v>
      </c>
      <c r="T58" s="58">
        <v>-5.0000000000000001E-4</v>
      </c>
      <c r="U58" s="58">
        <v>0.29520000000000002</v>
      </c>
      <c r="V58" s="59">
        <v>0.1681</v>
      </c>
      <c r="W58" s="59">
        <v>0.30990000000000001</v>
      </c>
      <c r="X58" s="59">
        <v>0</v>
      </c>
      <c r="Y58" s="59">
        <v>0.89629999999999999</v>
      </c>
      <c r="Z58" s="59">
        <v>-0.2218</v>
      </c>
      <c r="AA58" s="59">
        <v>-2.5000000000000001E-2</v>
      </c>
      <c r="AB58" s="59">
        <v>-0.12959999999999999</v>
      </c>
      <c r="AC58" s="58">
        <v>0.2994</v>
      </c>
      <c r="AD58" s="58">
        <v>0.15939999999999999</v>
      </c>
      <c r="AE58" s="58">
        <v>0</v>
      </c>
      <c r="AF58" s="58">
        <v>-0.41930000000000001</v>
      </c>
      <c r="AG58" s="58">
        <v>0.14680000000000001</v>
      </c>
      <c r="AH58" s="58">
        <v>-0.35620000000000002</v>
      </c>
      <c r="AI58" s="58">
        <v>-0.3982</v>
      </c>
      <c r="AJ58" s="59">
        <v>-0.1331</v>
      </c>
      <c r="AK58" s="59">
        <v>2.0500000000000001E-2</v>
      </c>
      <c r="AL58" s="59">
        <v>0</v>
      </c>
      <c r="AM58" s="59">
        <v>0.41470000000000001</v>
      </c>
      <c r="AN58" s="59">
        <v>-0.2591</v>
      </c>
      <c r="AO58" s="59">
        <v>0.28210000000000002</v>
      </c>
      <c r="AP58" s="59">
        <v>-3.1099999999999999E-2</v>
      </c>
      <c r="AQ58" s="58">
        <v>-7.1599999999999997E-2</v>
      </c>
      <c r="AR58" s="58">
        <v>0.32250000000000001</v>
      </c>
      <c r="AS58" s="58">
        <v>0</v>
      </c>
      <c r="AT58" s="58">
        <v>0.29320000000000002</v>
      </c>
      <c r="AU58" s="58">
        <v>0.16009999999999999</v>
      </c>
      <c r="AV58" s="58">
        <v>2.0199999999999999E-2</v>
      </c>
      <c r="AW58" s="58">
        <v>0.35549999999999998</v>
      </c>
      <c r="AX58" s="59">
        <v>-1.35E-2</v>
      </c>
      <c r="AY58" s="59">
        <v>-3.0099999999999998E-2</v>
      </c>
      <c r="AZ58" s="59">
        <v>0</v>
      </c>
      <c r="BA58" s="59">
        <v>-9.0499999999999997E-2</v>
      </c>
      <c r="BB58" s="59">
        <v>8.72E-2</v>
      </c>
      <c r="BC58" s="59">
        <v>0.33829999999999999</v>
      </c>
      <c r="BD58" s="59">
        <v>-3.49E-2</v>
      </c>
    </row>
    <row r="59" spans="1:56" x14ac:dyDescent="0.25">
      <c r="A59" s="58">
        <v>-0.69740000000000002</v>
      </c>
      <c r="B59" s="58">
        <v>-0.84019999999999995</v>
      </c>
      <c r="C59" s="58">
        <v>-0.7954</v>
      </c>
      <c r="D59" s="58">
        <v>0</v>
      </c>
      <c r="E59" s="58">
        <v>-1.1144000000000001</v>
      </c>
      <c r="F59" s="58">
        <v>-0.25669999999999998</v>
      </c>
      <c r="G59" s="58">
        <v>-1.218</v>
      </c>
      <c r="H59" s="59">
        <v>-0.64080000000000004</v>
      </c>
      <c r="I59" s="59">
        <v>-0.61699999999999999</v>
      </c>
      <c r="J59" s="59">
        <v>-0.98309999999999997</v>
      </c>
      <c r="K59" s="59">
        <v>0</v>
      </c>
      <c r="L59" s="59">
        <v>-0.70489999999999997</v>
      </c>
      <c r="M59" s="59">
        <v>-0.46100000000000002</v>
      </c>
      <c r="N59" s="59">
        <v>-1.1896</v>
      </c>
      <c r="O59" s="58">
        <v>0.39939999999999998</v>
      </c>
      <c r="P59" s="58">
        <v>4.0599999999999997E-2</v>
      </c>
      <c r="Q59" s="58">
        <v>7.7299999999999994E-2</v>
      </c>
      <c r="R59" s="58">
        <v>0</v>
      </c>
      <c r="S59" s="58">
        <v>3.5099999999999999E-2</v>
      </c>
      <c r="T59" s="58">
        <v>7.6799999999999993E-2</v>
      </c>
      <c r="U59" s="58">
        <v>0.3725</v>
      </c>
      <c r="V59" s="59">
        <v>-0.72819999999999996</v>
      </c>
      <c r="W59" s="59">
        <v>-0.58640000000000003</v>
      </c>
      <c r="X59" s="59">
        <v>-0.89629999999999999</v>
      </c>
      <c r="Y59" s="59">
        <v>0</v>
      </c>
      <c r="Z59" s="59">
        <v>-1.1181000000000001</v>
      </c>
      <c r="AA59" s="59">
        <v>-0.92130000000000001</v>
      </c>
      <c r="AB59" s="59">
        <v>-1.0259</v>
      </c>
      <c r="AC59" s="58">
        <v>0.71870000000000001</v>
      </c>
      <c r="AD59" s="58">
        <v>0.57869999999999999</v>
      </c>
      <c r="AE59" s="58">
        <v>0.41930000000000001</v>
      </c>
      <c r="AF59" s="58">
        <v>0</v>
      </c>
      <c r="AG59" s="58">
        <v>0.56610000000000005</v>
      </c>
      <c r="AH59" s="58">
        <v>6.3100000000000003E-2</v>
      </c>
      <c r="AI59" s="58">
        <v>2.1100000000000001E-2</v>
      </c>
      <c r="AJ59" s="59">
        <v>-0.54779999999999995</v>
      </c>
      <c r="AK59" s="59">
        <v>-0.39419999999999999</v>
      </c>
      <c r="AL59" s="59">
        <v>-0.41470000000000001</v>
      </c>
      <c r="AM59" s="59">
        <v>0</v>
      </c>
      <c r="AN59" s="59">
        <v>-0.67379999999999995</v>
      </c>
      <c r="AO59" s="59">
        <v>-0.1326</v>
      </c>
      <c r="AP59" s="59">
        <v>-0.44579999999999997</v>
      </c>
      <c r="AQ59" s="58">
        <v>-0.36480000000000001</v>
      </c>
      <c r="AR59" s="58">
        <v>2.93E-2</v>
      </c>
      <c r="AS59" s="58">
        <v>-0.29320000000000002</v>
      </c>
      <c r="AT59" s="58">
        <v>0</v>
      </c>
      <c r="AU59" s="58">
        <v>-0.1331</v>
      </c>
      <c r="AV59" s="58">
        <v>-0.27300000000000002</v>
      </c>
      <c r="AW59" s="58">
        <v>6.2300000000000001E-2</v>
      </c>
      <c r="AX59" s="59">
        <v>7.6999999999999999E-2</v>
      </c>
      <c r="AY59" s="59">
        <v>6.0400000000000002E-2</v>
      </c>
      <c r="AZ59" s="59">
        <v>9.0499999999999997E-2</v>
      </c>
      <c r="BA59" s="59">
        <v>0</v>
      </c>
      <c r="BB59" s="59">
        <v>0.1777</v>
      </c>
      <c r="BC59" s="59">
        <v>0.42880000000000001</v>
      </c>
      <c r="BD59" s="59">
        <v>5.5599999999999997E-2</v>
      </c>
    </row>
    <row r="60" spans="1:56" x14ac:dyDescent="0.25">
      <c r="A60" s="58">
        <v>0.41699999999999998</v>
      </c>
      <c r="B60" s="58">
        <v>0.2742</v>
      </c>
      <c r="C60" s="58">
        <v>0.31900000000000001</v>
      </c>
      <c r="D60" s="58">
        <v>1.1144000000000001</v>
      </c>
      <c r="E60" s="58">
        <v>0</v>
      </c>
      <c r="F60" s="58">
        <v>0.85770000000000002</v>
      </c>
      <c r="G60" s="58">
        <v>-0.1036</v>
      </c>
      <c r="H60" s="59">
        <v>6.4100000000000004E-2</v>
      </c>
      <c r="I60" s="59">
        <v>8.7900000000000006E-2</v>
      </c>
      <c r="J60" s="59">
        <v>-0.2782</v>
      </c>
      <c r="K60" s="59">
        <v>0.70489999999999997</v>
      </c>
      <c r="L60" s="59">
        <v>0</v>
      </c>
      <c r="M60" s="59">
        <v>0.24390000000000001</v>
      </c>
      <c r="N60" s="59">
        <v>-0.48470000000000002</v>
      </c>
      <c r="O60" s="58">
        <v>0.36430000000000001</v>
      </c>
      <c r="P60" s="58">
        <v>5.4999999999999997E-3</v>
      </c>
      <c r="Q60" s="58">
        <v>4.2200000000000001E-2</v>
      </c>
      <c r="R60" s="58">
        <v>-3.5099999999999999E-2</v>
      </c>
      <c r="S60" s="58">
        <v>0</v>
      </c>
      <c r="T60" s="58">
        <v>4.1700000000000001E-2</v>
      </c>
      <c r="U60" s="58">
        <v>0.33739999999999998</v>
      </c>
      <c r="V60" s="59">
        <v>0.38990000000000002</v>
      </c>
      <c r="W60" s="59">
        <v>0.53169999999999995</v>
      </c>
      <c r="X60" s="59">
        <v>0.2218</v>
      </c>
      <c r="Y60" s="59">
        <v>1.1181000000000001</v>
      </c>
      <c r="Z60" s="59">
        <v>0</v>
      </c>
      <c r="AA60" s="59">
        <v>0.1968</v>
      </c>
      <c r="AB60" s="59">
        <v>9.2200000000000004E-2</v>
      </c>
      <c r="AC60" s="58">
        <v>0.15260000000000001</v>
      </c>
      <c r="AD60" s="58">
        <v>1.26E-2</v>
      </c>
      <c r="AE60" s="58">
        <v>-0.14680000000000001</v>
      </c>
      <c r="AF60" s="58">
        <v>-0.56610000000000005</v>
      </c>
      <c r="AG60" s="58">
        <v>0</v>
      </c>
      <c r="AH60" s="58">
        <v>-0.503</v>
      </c>
      <c r="AI60" s="58">
        <v>-0.54500000000000004</v>
      </c>
      <c r="AJ60" s="59">
        <v>0.126</v>
      </c>
      <c r="AK60" s="59">
        <v>0.27960000000000002</v>
      </c>
      <c r="AL60" s="59">
        <v>0.2591</v>
      </c>
      <c r="AM60" s="59">
        <v>0.67379999999999995</v>
      </c>
      <c r="AN60" s="59">
        <v>0</v>
      </c>
      <c r="AO60" s="59">
        <v>0.54120000000000001</v>
      </c>
      <c r="AP60" s="59">
        <v>0.22800000000000001</v>
      </c>
      <c r="AQ60" s="58">
        <v>-0.23169999999999999</v>
      </c>
      <c r="AR60" s="58">
        <v>0.16239999999999999</v>
      </c>
      <c r="AS60" s="58">
        <v>-0.16009999999999999</v>
      </c>
      <c r="AT60" s="58">
        <v>0.1331</v>
      </c>
      <c r="AU60" s="58">
        <v>0</v>
      </c>
      <c r="AV60" s="58">
        <v>-0.1399</v>
      </c>
      <c r="AW60" s="58">
        <v>0.19539999999999999</v>
      </c>
      <c r="AX60" s="59">
        <v>-0.1007</v>
      </c>
      <c r="AY60" s="59">
        <v>-0.1173</v>
      </c>
      <c r="AZ60" s="59">
        <v>-8.72E-2</v>
      </c>
      <c r="BA60" s="59">
        <v>-0.1777</v>
      </c>
      <c r="BB60" s="59">
        <v>0</v>
      </c>
      <c r="BC60" s="59">
        <v>0.25109999999999999</v>
      </c>
      <c r="BD60" s="59">
        <v>-0.1221</v>
      </c>
    </row>
    <row r="61" spans="1:56" x14ac:dyDescent="0.25">
      <c r="A61" s="58">
        <v>-0.44069999999999998</v>
      </c>
      <c r="B61" s="58">
        <v>-0.58350000000000002</v>
      </c>
      <c r="C61" s="58">
        <v>-0.53869999999999996</v>
      </c>
      <c r="D61" s="58">
        <v>0.25669999999999998</v>
      </c>
      <c r="E61" s="58">
        <v>-0.85770000000000002</v>
      </c>
      <c r="F61" s="58">
        <v>0</v>
      </c>
      <c r="G61" s="58">
        <v>-0.96130000000000004</v>
      </c>
      <c r="H61" s="59">
        <v>-0.17979999999999999</v>
      </c>
      <c r="I61" s="59">
        <v>-0.156</v>
      </c>
      <c r="J61" s="59">
        <v>-0.52210000000000001</v>
      </c>
      <c r="K61" s="59">
        <v>0.46100000000000002</v>
      </c>
      <c r="L61" s="59">
        <v>-0.24390000000000001</v>
      </c>
      <c r="M61" s="59">
        <v>0</v>
      </c>
      <c r="N61" s="59">
        <v>-0.72860000000000003</v>
      </c>
      <c r="O61" s="58">
        <v>0.3226</v>
      </c>
      <c r="P61" s="58">
        <v>-3.6200000000000003E-2</v>
      </c>
      <c r="Q61" s="58">
        <v>5.0000000000000001E-4</v>
      </c>
      <c r="R61" s="58">
        <v>-7.6799999999999993E-2</v>
      </c>
      <c r="S61" s="58">
        <v>-4.1700000000000001E-2</v>
      </c>
      <c r="T61" s="58">
        <v>0</v>
      </c>
      <c r="U61" s="58">
        <v>0.29570000000000002</v>
      </c>
      <c r="V61" s="59">
        <v>0.19309999999999999</v>
      </c>
      <c r="W61" s="59">
        <v>0.33489999999999998</v>
      </c>
      <c r="X61" s="59">
        <v>2.5000000000000001E-2</v>
      </c>
      <c r="Y61" s="59">
        <v>0.92130000000000001</v>
      </c>
      <c r="Z61" s="59">
        <v>-0.1968</v>
      </c>
      <c r="AA61" s="59">
        <v>0</v>
      </c>
      <c r="AB61" s="59">
        <v>-0.1046</v>
      </c>
      <c r="AC61" s="58">
        <v>0.65559999999999996</v>
      </c>
      <c r="AD61" s="58">
        <v>0.51559999999999995</v>
      </c>
      <c r="AE61" s="58">
        <v>0.35620000000000002</v>
      </c>
      <c r="AF61" s="58">
        <v>-6.3100000000000003E-2</v>
      </c>
      <c r="AG61" s="58">
        <v>0.503</v>
      </c>
      <c r="AH61" s="58">
        <v>0</v>
      </c>
      <c r="AI61" s="58">
        <v>-4.2000000000000003E-2</v>
      </c>
      <c r="AJ61" s="59">
        <v>-0.41520000000000001</v>
      </c>
      <c r="AK61" s="59">
        <v>-0.2616</v>
      </c>
      <c r="AL61" s="59">
        <v>-0.28210000000000002</v>
      </c>
      <c r="AM61" s="59">
        <v>0.1326</v>
      </c>
      <c r="AN61" s="59">
        <v>-0.54120000000000001</v>
      </c>
      <c r="AO61" s="59">
        <v>0</v>
      </c>
      <c r="AP61" s="59">
        <v>-0.31319999999999998</v>
      </c>
      <c r="AQ61" s="58">
        <v>-9.1800000000000007E-2</v>
      </c>
      <c r="AR61" s="58">
        <v>0.30230000000000001</v>
      </c>
      <c r="AS61" s="58">
        <v>-2.0199999999999999E-2</v>
      </c>
      <c r="AT61" s="58">
        <v>0.27300000000000002</v>
      </c>
      <c r="AU61" s="58">
        <v>0.1399</v>
      </c>
      <c r="AV61" s="58">
        <v>0</v>
      </c>
      <c r="AW61" s="58">
        <v>0.33529999999999999</v>
      </c>
      <c r="AX61" s="59">
        <v>-0.3518</v>
      </c>
      <c r="AY61" s="59">
        <v>-0.36840000000000001</v>
      </c>
      <c r="AZ61" s="59">
        <v>-0.33829999999999999</v>
      </c>
      <c r="BA61" s="59">
        <v>-0.42880000000000001</v>
      </c>
      <c r="BB61" s="59">
        <v>-0.25109999999999999</v>
      </c>
      <c r="BC61" s="59">
        <v>0</v>
      </c>
      <c r="BD61" s="59">
        <v>-0.37319999999999998</v>
      </c>
    </row>
    <row r="62" spans="1:56" x14ac:dyDescent="0.25">
      <c r="A62" s="58">
        <v>0.52059999999999995</v>
      </c>
      <c r="B62" s="58">
        <v>0.37780000000000002</v>
      </c>
      <c r="C62" s="58">
        <v>0.42259999999999998</v>
      </c>
      <c r="D62" s="58">
        <v>1.218</v>
      </c>
      <c r="E62" s="58">
        <v>0.1036</v>
      </c>
      <c r="F62" s="58">
        <v>0.96130000000000004</v>
      </c>
      <c r="G62" s="58">
        <v>0</v>
      </c>
      <c r="H62" s="59">
        <v>0.54879999999999995</v>
      </c>
      <c r="I62" s="59">
        <v>0.5726</v>
      </c>
      <c r="J62" s="59">
        <v>0.20649999999999999</v>
      </c>
      <c r="K62" s="59">
        <v>1.1896</v>
      </c>
      <c r="L62" s="59">
        <v>0.48470000000000002</v>
      </c>
      <c r="M62" s="59">
        <v>0.72860000000000003</v>
      </c>
      <c r="N62" s="59">
        <v>0</v>
      </c>
      <c r="O62" s="58">
        <v>2.69E-2</v>
      </c>
      <c r="P62" s="58">
        <v>-0.33189999999999997</v>
      </c>
      <c r="Q62" s="58">
        <v>-0.29520000000000002</v>
      </c>
      <c r="R62" s="58">
        <v>-0.3725</v>
      </c>
      <c r="S62" s="58">
        <v>-0.33739999999999998</v>
      </c>
      <c r="T62" s="58">
        <v>-0.29570000000000002</v>
      </c>
      <c r="U62" s="58">
        <v>0</v>
      </c>
      <c r="V62" s="59">
        <v>0.29770000000000002</v>
      </c>
      <c r="W62" s="59">
        <v>0.4395</v>
      </c>
      <c r="X62" s="59">
        <v>0.12959999999999999</v>
      </c>
      <c r="Y62" s="59">
        <v>1.0259</v>
      </c>
      <c r="Z62" s="59">
        <v>-9.2200000000000004E-2</v>
      </c>
      <c r="AA62" s="59">
        <v>0.1046</v>
      </c>
      <c r="AB62" s="59">
        <v>0</v>
      </c>
      <c r="AC62" s="58">
        <v>0.6976</v>
      </c>
      <c r="AD62" s="58">
        <v>0.55759999999999998</v>
      </c>
      <c r="AE62" s="58">
        <v>0.3982</v>
      </c>
      <c r="AF62" s="58">
        <v>-2.1100000000000001E-2</v>
      </c>
      <c r="AG62" s="58">
        <v>0.54500000000000004</v>
      </c>
      <c r="AH62" s="58">
        <v>4.2000000000000003E-2</v>
      </c>
      <c r="AI62" s="58">
        <v>0</v>
      </c>
      <c r="AJ62" s="59">
        <v>-0.10199999999999999</v>
      </c>
      <c r="AK62" s="59">
        <v>5.16E-2</v>
      </c>
      <c r="AL62" s="59">
        <v>3.1099999999999999E-2</v>
      </c>
      <c r="AM62" s="59">
        <v>0.44579999999999997</v>
      </c>
      <c r="AN62" s="59">
        <v>-0.22800000000000001</v>
      </c>
      <c r="AO62" s="59">
        <v>0.31319999999999998</v>
      </c>
      <c r="AP62" s="59">
        <v>0</v>
      </c>
      <c r="AQ62" s="58">
        <v>-0.42709999999999998</v>
      </c>
      <c r="AR62" s="58">
        <v>-3.3000000000000002E-2</v>
      </c>
      <c r="AS62" s="58">
        <v>-0.35549999999999998</v>
      </c>
      <c r="AT62" s="58">
        <v>-6.2300000000000001E-2</v>
      </c>
      <c r="AU62" s="58">
        <v>-0.19539999999999999</v>
      </c>
      <c r="AV62" s="58">
        <v>-0.33529999999999999</v>
      </c>
      <c r="AW62" s="58">
        <v>0</v>
      </c>
      <c r="AX62" s="59">
        <v>2.1399999999999999E-2</v>
      </c>
      <c r="AY62" s="59">
        <v>4.7999999999999996E-3</v>
      </c>
      <c r="AZ62" s="59">
        <v>3.49E-2</v>
      </c>
      <c r="BA62" s="59">
        <v>-5.5599999999999997E-2</v>
      </c>
      <c r="BB62" s="59">
        <v>0.1221</v>
      </c>
      <c r="BC62" s="59">
        <v>0.37319999999999998</v>
      </c>
      <c r="BD62" s="59">
        <v>0</v>
      </c>
    </row>
    <row r="63" spans="1:56" ht="15.75" thickBot="1" x14ac:dyDescent="0.3"/>
    <row r="64" spans="1:56" x14ac:dyDescent="0.25">
      <c r="A64" s="51"/>
      <c r="B64" s="76"/>
      <c r="C64" s="76" t="s">
        <v>166</v>
      </c>
      <c r="D64" s="76" t="s">
        <v>168</v>
      </c>
      <c r="E64" s="76" t="s">
        <v>167</v>
      </c>
      <c r="F64" s="76"/>
      <c r="G64" s="76"/>
      <c r="H64" s="76"/>
      <c r="I64" s="76"/>
      <c r="J64" s="76" t="s">
        <v>166</v>
      </c>
      <c r="K64" s="76" t="s">
        <v>168</v>
      </c>
      <c r="L64" s="76" t="s">
        <v>167</v>
      </c>
      <c r="M64" s="76"/>
      <c r="N64" s="76"/>
      <c r="O64" s="76"/>
      <c r="P64" s="76"/>
      <c r="Q64" s="76" t="s">
        <v>166</v>
      </c>
      <c r="R64" s="76" t="s">
        <v>168</v>
      </c>
      <c r="S64" s="76" t="s">
        <v>167</v>
      </c>
      <c r="T64" s="76"/>
      <c r="U64" s="76"/>
      <c r="V64" s="76"/>
      <c r="W64" s="76"/>
      <c r="X64" s="76" t="s">
        <v>166</v>
      </c>
      <c r="Y64" s="76" t="s">
        <v>168</v>
      </c>
      <c r="Z64" s="76" t="s">
        <v>167</v>
      </c>
      <c r="AA64" s="76"/>
      <c r="AB64" s="76"/>
      <c r="AC64" s="76"/>
      <c r="AD64" s="76"/>
      <c r="AE64" s="76" t="s">
        <v>166</v>
      </c>
      <c r="AF64" s="76" t="s">
        <v>168</v>
      </c>
      <c r="AG64" s="76" t="s">
        <v>167</v>
      </c>
      <c r="AH64" s="76"/>
      <c r="AI64" s="76"/>
      <c r="AJ64" s="76"/>
      <c r="AK64" s="76"/>
      <c r="AL64" s="76" t="s">
        <v>166</v>
      </c>
      <c r="AM64" s="76" t="s">
        <v>168</v>
      </c>
      <c r="AN64" s="76" t="s">
        <v>167</v>
      </c>
      <c r="AO64" s="76"/>
      <c r="AP64" s="76"/>
      <c r="AQ64" s="76"/>
      <c r="AR64" s="76"/>
      <c r="AS64" s="76" t="s">
        <v>166</v>
      </c>
      <c r="AT64" s="76" t="s">
        <v>168</v>
      </c>
      <c r="AU64" s="76" t="s">
        <v>167</v>
      </c>
      <c r="AV64" s="76"/>
      <c r="AW64" s="76"/>
      <c r="AX64" s="76"/>
      <c r="AY64" s="76"/>
      <c r="AZ64" s="76" t="s">
        <v>166</v>
      </c>
      <c r="BA64" s="76" t="s">
        <v>168</v>
      </c>
      <c r="BB64" s="76" t="s">
        <v>167</v>
      </c>
      <c r="BC64" s="76"/>
      <c r="BD64" s="77"/>
    </row>
    <row r="65" spans="1:56" ht="15.75" thickBot="1" x14ac:dyDescent="0.3">
      <c r="A65" s="15"/>
      <c r="B65" s="16"/>
      <c r="C65" s="16">
        <v>-0.95000000000000007</v>
      </c>
      <c r="D65" s="16">
        <v>-0.62249999999999983</v>
      </c>
      <c r="E65" s="16">
        <v>0.57110000000000005</v>
      </c>
      <c r="F65" s="16"/>
      <c r="G65" s="16"/>
      <c r="H65" s="16"/>
      <c r="I65" s="16"/>
      <c r="J65" s="16">
        <v>-0.94000000000000017</v>
      </c>
      <c r="K65" s="16">
        <v>-0.21760000000000007</v>
      </c>
      <c r="L65" s="16">
        <v>0.75750000000000006</v>
      </c>
      <c r="M65" s="16"/>
      <c r="N65" s="16"/>
      <c r="O65" s="16"/>
      <c r="P65" s="16"/>
      <c r="Q65" s="16">
        <v>-0.21760000000000007</v>
      </c>
      <c r="R65" s="16">
        <v>0.21500000000000008</v>
      </c>
      <c r="S65" s="16">
        <v>0.57110000000000005</v>
      </c>
      <c r="T65" s="16"/>
      <c r="U65" s="16"/>
      <c r="V65" s="16"/>
      <c r="W65" s="16"/>
      <c r="X65" s="16">
        <v>-0.91000000000000014</v>
      </c>
      <c r="Y65" s="16">
        <v>-0.21760000000000007</v>
      </c>
      <c r="Z65" s="16">
        <v>0.57110000000000005</v>
      </c>
      <c r="AA65" s="16"/>
      <c r="AB65" s="16"/>
      <c r="AC65" s="16"/>
      <c r="AD65" s="16"/>
      <c r="AE65" s="16">
        <v>-0.21760000000000007</v>
      </c>
      <c r="AF65" s="16">
        <v>0.57110000000000005</v>
      </c>
      <c r="AG65" s="16">
        <v>0.97750000000000004</v>
      </c>
      <c r="AH65" s="16"/>
      <c r="AI65" s="16"/>
      <c r="AJ65" s="16"/>
      <c r="AK65" s="16"/>
      <c r="AL65" s="16">
        <v>-0.62249999999999983</v>
      </c>
      <c r="AM65" s="16">
        <v>0.21500000000000008</v>
      </c>
      <c r="AN65" s="16">
        <v>0.75750000000000006</v>
      </c>
      <c r="AO65" s="16"/>
      <c r="AP65" s="16"/>
      <c r="AQ65" s="16"/>
      <c r="AR65" s="16"/>
      <c r="AS65" s="16">
        <v>-0.62249999999999983</v>
      </c>
      <c r="AT65" s="16">
        <v>0.21500000000000008</v>
      </c>
      <c r="AU65" s="16">
        <v>0.97750000000000004</v>
      </c>
      <c r="AV65" s="16"/>
      <c r="AW65" s="16"/>
      <c r="AX65" s="16"/>
      <c r="AY65" s="16"/>
      <c r="AZ65" s="16">
        <v>-1.0024999999999999</v>
      </c>
      <c r="BA65" s="16">
        <v>-0.21760000000000007</v>
      </c>
      <c r="BB65" s="16">
        <v>0.75750000000000006</v>
      </c>
      <c r="BC65" s="16"/>
      <c r="BD65" s="17"/>
    </row>
    <row r="68" spans="1:56" x14ac:dyDescent="0.25">
      <c r="A68" s="89" t="s">
        <v>169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</row>
    <row r="69" spans="1:56" x14ac:dyDescent="0.25">
      <c r="A69" s="11">
        <v>1</v>
      </c>
      <c r="B69" s="11">
        <v>2</v>
      </c>
      <c r="C69" s="11">
        <v>3</v>
      </c>
      <c r="D69" s="11">
        <v>4</v>
      </c>
      <c r="E69" s="11">
        <v>5</v>
      </c>
      <c r="F69" s="11">
        <v>6</v>
      </c>
      <c r="G69" s="11">
        <v>7</v>
      </c>
      <c r="H69" s="11">
        <v>1</v>
      </c>
      <c r="I69" s="11">
        <v>2</v>
      </c>
      <c r="J69" s="11">
        <v>3</v>
      </c>
      <c r="K69" s="11">
        <v>4</v>
      </c>
      <c r="L69" s="11">
        <v>5</v>
      </c>
      <c r="M69" s="11">
        <v>6</v>
      </c>
      <c r="N69" s="11">
        <v>7</v>
      </c>
      <c r="O69" s="11">
        <v>1</v>
      </c>
      <c r="P69" s="11">
        <v>2</v>
      </c>
      <c r="Q69" s="11">
        <v>3</v>
      </c>
      <c r="R69" s="11">
        <v>4</v>
      </c>
      <c r="S69" s="11">
        <v>5</v>
      </c>
      <c r="T69" s="11">
        <v>6</v>
      </c>
      <c r="U69" s="11">
        <v>7</v>
      </c>
      <c r="V69" s="11">
        <v>1</v>
      </c>
      <c r="W69" s="11">
        <v>2</v>
      </c>
      <c r="X69" s="11">
        <v>3</v>
      </c>
      <c r="Y69" s="11">
        <v>4</v>
      </c>
      <c r="Z69" s="11">
        <v>5</v>
      </c>
      <c r="AA69" s="11">
        <v>6</v>
      </c>
      <c r="AB69" s="11">
        <v>7</v>
      </c>
      <c r="AC69" s="11">
        <v>1</v>
      </c>
      <c r="AD69" s="11">
        <v>2</v>
      </c>
      <c r="AE69" s="11">
        <v>3</v>
      </c>
      <c r="AF69" s="11">
        <v>4</v>
      </c>
      <c r="AG69" s="11">
        <v>5</v>
      </c>
      <c r="AH69" s="11">
        <v>6</v>
      </c>
      <c r="AI69" s="11">
        <v>7</v>
      </c>
      <c r="AJ69" s="11">
        <v>1</v>
      </c>
      <c r="AK69" s="11">
        <v>2</v>
      </c>
      <c r="AL69" s="11">
        <v>3</v>
      </c>
      <c r="AM69" s="11">
        <v>4</v>
      </c>
      <c r="AN69" s="11">
        <v>5</v>
      </c>
      <c r="AO69" s="11">
        <v>6</v>
      </c>
      <c r="AP69" s="11">
        <v>7</v>
      </c>
      <c r="AQ69" s="11">
        <v>1</v>
      </c>
      <c r="AR69" s="11">
        <v>2</v>
      </c>
      <c r="AS69" s="11">
        <v>3</v>
      </c>
      <c r="AT69" s="11">
        <v>4</v>
      </c>
      <c r="AU69" s="11">
        <v>5</v>
      </c>
      <c r="AV69" s="11">
        <v>6</v>
      </c>
      <c r="AW69" s="11">
        <v>7</v>
      </c>
      <c r="AX69" s="11">
        <v>1</v>
      </c>
      <c r="AY69" s="11">
        <v>2</v>
      </c>
      <c r="AZ69" s="11">
        <v>3</v>
      </c>
      <c r="BA69" s="11">
        <v>4</v>
      </c>
      <c r="BB69" s="11">
        <v>5</v>
      </c>
      <c r="BC69" s="11">
        <v>6</v>
      </c>
      <c r="BD69" s="11">
        <v>7</v>
      </c>
    </row>
    <row r="70" spans="1:56" x14ac:dyDescent="0.25">
      <c r="A70" s="113" t="s">
        <v>150</v>
      </c>
      <c r="B70" s="113"/>
      <c r="C70" s="113"/>
      <c r="D70" s="113"/>
      <c r="E70" s="113"/>
      <c r="F70" s="113"/>
      <c r="G70" s="113"/>
      <c r="H70" s="115" t="s">
        <v>151</v>
      </c>
      <c r="I70" s="115"/>
      <c r="J70" s="115"/>
      <c r="K70" s="115"/>
      <c r="L70" s="115"/>
      <c r="M70" s="115"/>
      <c r="N70" s="115"/>
      <c r="O70" s="116" t="s">
        <v>152</v>
      </c>
      <c r="P70" s="117"/>
      <c r="Q70" s="117"/>
      <c r="R70" s="117"/>
      <c r="S70" s="117"/>
      <c r="T70" s="117"/>
      <c r="U70" s="118"/>
      <c r="V70" s="115" t="s">
        <v>153</v>
      </c>
      <c r="W70" s="115"/>
      <c r="X70" s="115"/>
      <c r="Y70" s="115"/>
      <c r="Z70" s="115"/>
      <c r="AA70" s="115"/>
      <c r="AB70" s="115"/>
      <c r="AC70" s="116" t="s">
        <v>154</v>
      </c>
      <c r="AD70" s="117"/>
      <c r="AE70" s="117"/>
      <c r="AF70" s="117"/>
      <c r="AG70" s="117"/>
      <c r="AH70" s="117"/>
      <c r="AI70" s="118"/>
      <c r="AJ70" s="119" t="s">
        <v>156</v>
      </c>
      <c r="AK70" s="120"/>
      <c r="AL70" s="120"/>
      <c r="AM70" s="120"/>
      <c r="AN70" s="120"/>
      <c r="AO70" s="120"/>
      <c r="AP70" s="121"/>
      <c r="AQ70" s="116" t="s">
        <v>155</v>
      </c>
      <c r="AR70" s="117"/>
      <c r="AS70" s="117"/>
      <c r="AT70" s="117"/>
      <c r="AU70" s="117"/>
      <c r="AV70" s="117"/>
      <c r="AW70" s="118"/>
      <c r="AX70" s="119" t="s">
        <v>157</v>
      </c>
      <c r="AY70" s="120"/>
      <c r="AZ70" s="120"/>
      <c r="BA70" s="120"/>
      <c r="BB70" s="120"/>
      <c r="BC70" s="120"/>
      <c r="BD70" s="121"/>
    </row>
    <row r="71" spans="1:56" x14ac:dyDescent="0.25">
      <c r="A71" s="58" t="str">
        <f>IF(A56&lt;=$C$65,"1",IF(A56&gt;$D$65,"0",($D$65-A56)/($D$65-$C$65)))</f>
        <v>0</v>
      </c>
      <c r="B71" s="58" t="str">
        <f t="shared" ref="B71:G71" si="59">IF(B56&lt;=$C$65,"1",IF(B56&gt;$D$65,"0",($D$65-B56)/($D$65-$C$65)))</f>
        <v>0</v>
      </c>
      <c r="C71" s="58" t="str">
        <f t="shared" si="59"/>
        <v>0</v>
      </c>
      <c r="D71" s="58" t="str">
        <f t="shared" si="59"/>
        <v>0</v>
      </c>
      <c r="E71" s="58" t="str">
        <f t="shared" si="59"/>
        <v>0</v>
      </c>
      <c r="F71" s="58" t="str">
        <f t="shared" si="59"/>
        <v>0</v>
      </c>
      <c r="G71" s="58" t="str">
        <f t="shared" si="59"/>
        <v>0</v>
      </c>
      <c r="H71" s="59" t="str">
        <f>IF(H56&lt;=$J$65,"1",IF(H56&gt;$K$65,"0",($K$65-H56)/($K$65-$J$65)))</f>
        <v>0</v>
      </c>
      <c r="I71" s="59" t="str">
        <f t="shared" ref="I71:M71" si="60">IF(I56&lt;=$J$65,"1",IF(I56&gt;$K$65,"0",($K$65-I56)/($K$65-$J$65)))</f>
        <v>0</v>
      </c>
      <c r="J71" s="59">
        <f t="shared" si="60"/>
        <v>0.17261904761904748</v>
      </c>
      <c r="K71" s="59" t="str">
        <f t="shared" si="60"/>
        <v>0</v>
      </c>
      <c r="L71" s="59" t="str">
        <f t="shared" si="60"/>
        <v>0</v>
      </c>
      <c r="M71" s="59" t="str">
        <f t="shared" si="60"/>
        <v>0</v>
      </c>
      <c r="N71" s="59">
        <f>IF(N56&lt;=$J$65,"1",IF(N56&gt;$K$65,"0",($K$65-N56)/($K$65-$J$65)))</f>
        <v>0.45847176079734192</v>
      </c>
      <c r="O71" s="58">
        <f>IF(O56&lt;=$Q$65,"1",IF(O56&gt;$R$65,"0",($R$65-O56)/($R$65-$Q$65)))</f>
        <v>0.49699491447064265</v>
      </c>
      <c r="P71" s="58" t="str">
        <f t="shared" ref="P71:U71" si="61">IF(P56&lt;=$Q$65,"1",IF(P56&gt;$R$65,"0",($R$65-P56)/($R$65-$Q$65)))</f>
        <v>1</v>
      </c>
      <c r="Q71" s="58" t="str">
        <f t="shared" si="61"/>
        <v>1</v>
      </c>
      <c r="R71" s="58" t="str">
        <f t="shared" si="61"/>
        <v>1</v>
      </c>
      <c r="S71" s="58" t="str">
        <f t="shared" si="61"/>
        <v>1</v>
      </c>
      <c r="T71" s="58" t="str">
        <f t="shared" si="61"/>
        <v>1</v>
      </c>
      <c r="U71" s="58">
        <f t="shared" si="61"/>
        <v>0.55917706888580676</v>
      </c>
      <c r="V71" s="59" t="str">
        <f>IF(V56&lt;=$X$65,"1",IF(V56&gt;$Y$65,"0",($Y$65-V56)/($Y$65-$X$65)))</f>
        <v>0</v>
      </c>
      <c r="W71" s="59" t="str">
        <f t="shared" ref="W71:AB71" si="62">IF(W56&lt;=$X$65,"1",IF(W56&gt;$Y$65,"0",($Y$65-W56)/($Y$65-$X$65)))</f>
        <v>0</v>
      </c>
      <c r="X71" s="59" t="str">
        <f t="shared" si="62"/>
        <v>0</v>
      </c>
      <c r="Y71" s="59" t="str">
        <f t="shared" si="62"/>
        <v>0</v>
      </c>
      <c r="Z71" s="59">
        <f t="shared" si="62"/>
        <v>0.24884459849797794</v>
      </c>
      <c r="AA71" s="59" t="str">
        <f t="shared" si="62"/>
        <v>0</v>
      </c>
      <c r="AB71" s="59">
        <f t="shared" si="62"/>
        <v>0.11568457538994792</v>
      </c>
      <c r="AC71" s="58">
        <f>IF(AC56&lt;=$AE$65,"1",IF(AC56&gt;$AF$65,"0",($AF$65-AC56)/($AF$65-$AE$65)))</f>
        <v>0.72410295422847715</v>
      </c>
      <c r="AD71" s="58">
        <f t="shared" ref="AD71:AI71" si="63">IF(AD56&lt;=$AE$65,"1",IF(AD56&gt;$AF$65,"0",($AF$65-AD56)/($AF$65-$AE$65)))</f>
        <v>0.90161024470647888</v>
      </c>
      <c r="AE71" s="58" t="str">
        <f t="shared" si="63"/>
        <v>1</v>
      </c>
      <c r="AF71" s="58" t="str">
        <f t="shared" si="63"/>
        <v>1</v>
      </c>
      <c r="AG71" s="58">
        <f t="shared" si="63"/>
        <v>0.91758590084949898</v>
      </c>
      <c r="AH71" s="58" t="str">
        <f t="shared" si="63"/>
        <v>1</v>
      </c>
      <c r="AI71" s="58" t="str">
        <f t="shared" si="63"/>
        <v>1</v>
      </c>
      <c r="AJ71" s="59">
        <f>IF(AJ56&lt;=$AL$65,"1",IF(AJ56&gt;$AM$65,"0",($AM$65-AJ56)/($AM$65-$AL$65)))</f>
        <v>0.25671641791044786</v>
      </c>
      <c r="AK71" s="59">
        <f t="shared" ref="AK71:AP71" si="64">IF(AK56&lt;=$AL$65,"1",IF(AK56&gt;$AM$65,"0",($AM$65-AK56)/($AM$65-$AL$65)))</f>
        <v>7.3313432835821021E-2</v>
      </c>
      <c r="AL71" s="59">
        <f t="shared" si="64"/>
        <v>9.779104477611951E-2</v>
      </c>
      <c r="AM71" s="59" t="str">
        <f t="shared" si="64"/>
        <v>0</v>
      </c>
      <c r="AN71" s="59">
        <f t="shared" si="64"/>
        <v>0.40716417910447777</v>
      </c>
      <c r="AO71" s="59" t="str">
        <f t="shared" si="64"/>
        <v>0</v>
      </c>
      <c r="AP71" s="59">
        <f t="shared" si="64"/>
        <v>0.13492537313432848</v>
      </c>
      <c r="AQ71" s="58">
        <f>IF(AQ56&lt;=$AS$65,"1",IF(AQ56&gt;$AT$65,"0",($AT$65-AQ56)/($AT$65-$AS$65)))</f>
        <v>0.25671641791044786</v>
      </c>
      <c r="AR71" s="58" t="str">
        <f t="shared" ref="AR71:AW71" si="65">IF(AR56&lt;=$AS$65,"1",IF(AR56&gt;$AT$65,"0",($AT$65-AR56)/($AT$65-$AS$65)))</f>
        <v>0</v>
      </c>
      <c r="AS71" s="58">
        <f t="shared" si="65"/>
        <v>0.17122388059701504</v>
      </c>
      <c r="AT71" s="58" t="str">
        <f t="shared" si="65"/>
        <v>0</v>
      </c>
      <c r="AU71" s="58" t="str">
        <f t="shared" si="65"/>
        <v>0</v>
      </c>
      <c r="AV71" s="58">
        <f t="shared" si="65"/>
        <v>0.1471044776119404</v>
      </c>
      <c r="AW71" s="58" t="str">
        <f t="shared" si="65"/>
        <v>0</v>
      </c>
      <c r="AX71" s="59" t="str">
        <f>IF(AX56&lt;=$AZ$65,"1",IF(AX56&gt;$BA$65,"0",($BA$65-AX56)/($BA$65-$AZ$65)))</f>
        <v>0</v>
      </c>
      <c r="AY71" s="59" t="str">
        <f t="shared" ref="AY71:BD71" si="66">IF(AY56&lt;=$AZ$65,"1",IF(AY56&gt;$BA$65,"0",($BA$65-AY56)/($BA$65-$AZ$65)))</f>
        <v>0</v>
      </c>
      <c r="AZ71" s="59" t="str">
        <f t="shared" si="66"/>
        <v>0</v>
      </c>
      <c r="BA71" s="59" t="str">
        <f t="shared" si="66"/>
        <v>0</v>
      </c>
      <c r="BB71" s="59" t="str">
        <f t="shared" si="66"/>
        <v>0</v>
      </c>
      <c r="BC71" s="59" t="str">
        <f t="shared" si="66"/>
        <v>0</v>
      </c>
      <c r="BD71" s="59" t="str">
        <f t="shared" si="66"/>
        <v>0</v>
      </c>
    </row>
    <row r="72" spans="1:56" x14ac:dyDescent="0.25">
      <c r="A72" s="58" t="str">
        <f t="shared" ref="A72:G72" si="67">IF(A57&lt;=$C$65,"1",IF(A57&gt;$D$65,"0",($D$65-A57)/($D$65-$C$65)))</f>
        <v>0</v>
      </c>
      <c r="B72" s="58" t="str">
        <f t="shared" si="67"/>
        <v>0</v>
      </c>
      <c r="C72" s="58" t="str">
        <f t="shared" si="67"/>
        <v>0</v>
      </c>
      <c r="D72" s="58" t="str">
        <f t="shared" si="67"/>
        <v>0</v>
      </c>
      <c r="E72" s="58" t="str">
        <f t="shared" si="67"/>
        <v>0</v>
      </c>
      <c r="F72" s="58" t="str">
        <f t="shared" si="67"/>
        <v>0</v>
      </c>
      <c r="G72" s="58" t="str">
        <f t="shared" si="67"/>
        <v>0</v>
      </c>
      <c r="H72" s="59" t="str">
        <f t="shared" ref="H72:N72" si="68">IF(H57&lt;=$J$65,"1",IF(H57&gt;$K$65,"0",($K$65-H57)/($K$65-$J$65)))</f>
        <v>0</v>
      </c>
      <c r="I72" s="59" t="str">
        <f t="shared" si="68"/>
        <v>0</v>
      </c>
      <c r="J72" s="59">
        <f t="shared" si="68"/>
        <v>0.20556478405315598</v>
      </c>
      <c r="K72" s="59" t="str">
        <f t="shared" si="68"/>
        <v>0</v>
      </c>
      <c r="L72" s="59" t="str">
        <f t="shared" si="68"/>
        <v>0</v>
      </c>
      <c r="M72" s="59" t="str">
        <f t="shared" si="68"/>
        <v>0</v>
      </c>
      <c r="N72" s="59">
        <f t="shared" si="68"/>
        <v>0.49141749723145051</v>
      </c>
      <c r="O72" s="58" t="str">
        <f t="shared" ref="O72:U72" si="69">IF(O57&lt;=$Q$65,"1",IF(O57&gt;$R$65,"0",($R$65-O57)/($R$65-$Q$65)))</f>
        <v>0</v>
      </c>
      <c r="P72" s="58">
        <f t="shared" si="69"/>
        <v>0.49699491447064265</v>
      </c>
      <c r="Q72" s="58">
        <f t="shared" si="69"/>
        <v>0.41215903837263063</v>
      </c>
      <c r="R72" s="58">
        <f t="shared" si="69"/>
        <v>0.59084604715672673</v>
      </c>
      <c r="S72" s="58">
        <f t="shared" si="69"/>
        <v>0.50970873786407767</v>
      </c>
      <c r="T72" s="58">
        <f t="shared" si="69"/>
        <v>0.41331484049930656</v>
      </c>
      <c r="U72" s="58" t="str">
        <f t="shared" si="69"/>
        <v>0</v>
      </c>
      <c r="V72" s="59" t="str">
        <f t="shared" ref="V72:AB72" si="70">IF(V57&lt;=$X$65,"1",IF(V57&gt;$Y$65,"0",($Y$65-V57)/($Y$65-$X$65)))</f>
        <v>0</v>
      </c>
      <c r="W72" s="59" t="str">
        <f t="shared" si="70"/>
        <v>0</v>
      </c>
      <c r="X72" s="59">
        <f t="shared" si="70"/>
        <v>0.13330444829578267</v>
      </c>
      <c r="Y72" s="59" t="str">
        <f t="shared" si="70"/>
        <v>0</v>
      </c>
      <c r="Z72" s="59">
        <f t="shared" si="70"/>
        <v>0.45363951473136888</v>
      </c>
      <c r="AA72" s="59">
        <f t="shared" si="70"/>
        <v>0.16941074523396862</v>
      </c>
      <c r="AB72" s="59">
        <f t="shared" si="70"/>
        <v>0.32047949162333894</v>
      </c>
      <c r="AC72" s="58">
        <f t="shared" ref="AC72:AI72" si="71">IF(AC57&lt;=$AE$65,"1",IF(AC57&gt;$AF$65,"0",($AF$65-AC57)/($AF$65-$AE$65)))</f>
        <v>0.54659566375047541</v>
      </c>
      <c r="AD72" s="58">
        <f t="shared" si="71"/>
        <v>0.72410295422847715</v>
      </c>
      <c r="AE72" s="58">
        <f t="shared" si="71"/>
        <v>0.92620768352985905</v>
      </c>
      <c r="AF72" s="58" t="str">
        <f t="shared" si="71"/>
        <v>1</v>
      </c>
      <c r="AG72" s="58">
        <f t="shared" si="71"/>
        <v>0.74007861037149736</v>
      </c>
      <c r="AH72" s="58" t="str">
        <f t="shared" si="71"/>
        <v>1</v>
      </c>
      <c r="AI72" s="58" t="str">
        <f t="shared" si="71"/>
        <v>1</v>
      </c>
      <c r="AJ72" s="59">
        <f t="shared" ref="AJ72:AP72" si="72">IF(AJ57&lt;=$AL$65,"1",IF(AJ57&gt;$AM$65,"0",($AM$65-AJ57)/($AM$65-$AL$65)))</f>
        <v>0.44011940298507474</v>
      </c>
      <c r="AK72" s="59">
        <f t="shared" si="72"/>
        <v>0.25671641791044786</v>
      </c>
      <c r="AL72" s="59">
        <f t="shared" si="72"/>
        <v>0.28119402985074637</v>
      </c>
      <c r="AM72" s="59" t="str">
        <f t="shared" si="72"/>
        <v>0</v>
      </c>
      <c r="AN72" s="59">
        <f t="shared" si="72"/>
        <v>0.59056716417910471</v>
      </c>
      <c r="AO72" s="59" t="str">
        <f t="shared" si="72"/>
        <v>0</v>
      </c>
      <c r="AP72" s="59">
        <f t="shared" si="72"/>
        <v>0.31832835820895533</v>
      </c>
      <c r="AQ72" s="58">
        <f t="shared" ref="AQ72:AW72" si="73">IF(AQ57&lt;=$AS$65,"1",IF(AQ57&gt;$AT$65,"0",($AT$65-AQ57)/($AT$65-$AS$65)))</f>
        <v>0.72728358208955246</v>
      </c>
      <c r="AR72" s="58">
        <f t="shared" si="73"/>
        <v>0.25671641791044786</v>
      </c>
      <c r="AS72" s="58">
        <f t="shared" si="73"/>
        <v>0.64179104477611959</v>
      </c>
      <c r="AT72" s="58">
        <f t="shared" si="73"/>
        <v>0.29170149253731353</v>
      </c>
      <c r="AU72" s="58">
        <f t="shared" si="73"/>
        <v>0.4506268656716419</v>
      </c>
      <c r="AV72" s="58">
        <f t="shared" si="73"/>
        <v>0.61767164179104495</v>
      </c>
      <c r="AW72" s="58">
        <f t="shared" si="73"/>
        <v>0.21731343283582102</v>
      </c>
      <c r="AX72" s="59" t="str">
        <f t="shared" ref="AX72:BD72" si="74">IF(AX57&lt;=$AZ$65,"1",IF(AX57&gt;$BA$65,"0",($BA$65-AX57)/($BA$65-$AZ$65)))</f>
        <v>0</v>
      </c>
      <c r="AY72" s="59" t="str">
        <f t="shared" si="74"/>
        <v>0</v>
      </c>
      <c r="AZ72" s="59" t="str">
        <f t="shared" si="74"/>
        <v>0</v>
      </c>
      <c r="BA72" s="59" t="str">
        <f t="shared" si="74"/>
        <v>0</v>
      </c>
      <c r="BB72" s="59" t="str">
        <f t="shared" si="74"/>
        <v>0</v>
      </c>
      <c r="BC72" s="59" t="str">
        <f t="shared" si="74"/>
        <v>0</v>
      </c>
      <c r="BD72" s="59" t="str">
        <f t="shared" si="74"/>
        <v>0</v>
      </c>
    </row>
    <row r="73" spans="1:56" x14ac:dyDescent="0.25">
      <c r="A73" s="58" t="str">
        <f t="shared" ref="A73:G73" si="75">IF(A58&lt;=$C$65,"1",IF(A58&gt;$D$65,"0",($D$65-A58)/($D$65-$C$65)))</f>
        <v>0</v>
      </c>
      <c r="B73" s="58" t="str">
        <f t="shared" si="75"/>
        <v>0</v>
      </c>
      <c r="C73" s="58" t="str">
        <f t="shared" si="75"/>
        <v>0</v>
      </c>
      <c r="D73" s="58" t="str">
        <f t="shared" si="75"/>
        <v>0</v>
      </c>
      <c r="E73" s="58" t="str">
        <f t="shared" si="75"/>
        <v>0</v>
      </c>
      <c r="F73" s="58" t="str">
        <f t="shared" si="75"/>
        <v>0</v>
      </c>
      <c r="G73" s="58" t="str">
        <f t="shared" si="75"/>
        <v>0</v>
      </c>
      <c r="H73" s="59" t="str">
        <f t="shared" ref="H73:N73" si="76">IF(H58&lt;=$J$65,"1",IF(H58&gt;$K$65,"0",($K$65-H58)/($K$65-$J$65)))</f>
        <v>0</v>
      </c>
      <c r="I73" s="59" t="str">
        <f t="shared" si="76"/>
        <v>0</v>
      </c>
      <c r="J73" s="59" t="str">
        <f t="shared" si="76"/>
        <v>0</v>
      </c>
      <c r="K73" s="59" t="str">
        <f t="shared" si="76"/>
        <v>0</v>
      </c>
      <c r="L73" s="59" t="str">
        <f t="shared" si="76"/>
        <v>0</v>
      </c>
      <c r="M73" s="59" t="str">
        <f t="shared" si="76"/>
        <v>0</v>
      </c>
      <c r="N73" s="59" t="str">
        <f t="shared" si="76"/>
        <v>0</v>
      </c>
      <c r="O73" s="58" t="str">
        <f t="shared" ref="O73:U73" si="77">IF(O58&lt;=$Q$65,"1",IF(O58&gt;$R$65,"0",($R$65-O58)/($R$65-$Q$65)))</f>
        <v>0</v>
      </c>
      <c r="P73" s="58">
        <f t="shared" si="77"/>
        <v>0.58183079056865461</v>
      </c>
      <c r="Q73" s="58">
        <f t="shared" si="77"/>
        <v>0.49699491447064265</v>
      </c>
      <c r="R73" s="58">
        <f t="shared" si="77"/>
        <v>0.67568192325473864</v>
      </c>
      <c r="S73" s="58">
        <f t="shared" si="77"/>
        <v>0.59454461396208969</v>
      </c>
      <c r="T73" s="58">
        <f t="shared" si="77"/>
        <v>0.49815071659731858</v>
      </c>
      <c r="U73" s="58" t="str">
        <f t="shared" si="77"/>
        <v>0</v>
      </c>
      <c r="V73" s="59" t="str">
        <f t="shared" ref="V73:AB73" si="78">IF(V58&lt;=$X$65,"1",IF(V58&gt;$Y$65,"0",($Y$65-V58)/($Y$65-$X$65)))</f>
        <v>0</v>
      </c>
      <c r="W73" s="59" t="str">
        <f t="shared" si="78"/>
        <v>0</v>
      </c>
      <c r="X73" s="59" t="str">
        <f t="shared" si="78"/>
        <v>0</v>
      </c>
      <c r="Y73" s="59" t="str">
        <f t="shared" si="78"/>
        <v>0</v>
      </c>
      <c r="Z73" s="59">
        <f>IF(Z58&lt;=$X$65,"1",IF(Z58&gt;$Y$65,"0",($Y$65-Z58)/($Y$65-$X$65)))</f>
        <v>6.0658578856151437E-3</v>
      </c>
      <c r="AA73" s="59" t="str">
        <f t="shared" si="78"/>
        <v>0</v>
      </c>
      <c r="AB73" s="59" t="str">
        <f t="shared" si="78"/>
        <v>0</v>
      </c>
      <c r="AC73" s="58">
        <f t="shared" ref="AC73:AI73" si="79">IF(AC58&lt;=$AE$65,"1",IF(AC58&gt;$AF$65,"0",($AF$65-AC58)/($AF$65-$AE$65)))</f>
        <v>0.34449093444909346</v>
      </c>
      <c r="AD73" s="58">
        <f t="shared" si="79"/>
        <v>0.52199822492709513</v>
      </c>
      <c r="AE73" s="58">
        <f t="shared" si="79"/>
        <v>0.72410295422847715</v>
      </c>
      <c r="AF73" s="58" t="str">
        <f t="shared" si="79"/>
        <v>1</v>
      </c>
      <c r="AG73" s="58">
        <f t="shared" si="79"/>
        <v>0.53797388107011523</v>
      </c>
      <c r="AH73" s="58" t="str">
        <f t="shared" si="79"/>
        <v>1</v>
      </c>
      <c r="AI73" s="58" t="str">
        <f t="shared" si="79"/>
        <v>1</v>
      </c>
      <c r="AJ73" s="59">
        <f t="shared" ref="AJ73:AP73" si="80">IF(AJ58&lt;=$AL$65,"1",IF(AJ58&gt;$AM$65,"0",($AM$65-AJ58)/($AM$65-$AL$65)))</f>
        <v>0.41564179104477628</v>
      </c>
      <c r="AK73" s="59">
        <f t="shared" si="80"/>
        <v>0.2322388059701494</v>
      </c>
      <c r="AL73" s="59">
        <f t="shared" si="80"/>
        <v>0.25671641791044786</v>
      </c>
      <c r="AM73" s="59" t="str">
        <f t="shared" si="80"/>
        <v>0</v>
      </c>
      <c r="AN73" s="59">
        <f t="shared" si="80"/>
        <v>0.56608955223880608</v>
      </c>
      <c r="AO73" s="59" t="str">
        <f t="shared" si="80"/>
        <v>0</v>
      </c>
      <c r="AP73" s="59">
        <f t="shared" si="80"/>
        <v>0.29385074626865682</v>
      </c>
      <c r="AQ73" s="58">
        <f t="shared" ref="AQ73:AW73" si="81">IF(AQ58&lt;=$AS$65,"1",IF(AQ58&gt;$AT$65,"0",($AT$65-AQ58)/($AT$65-$AS$65)))</f>
        <v>0.34220895522388073</v>
      </c>
      <c r="AR73" s="58" t="str">
        <f t="shared" si="81"/>
        <v>0</v>
      </c>
      <c r="AS73" s="58">
        <f t="shared" si="81"/>
        <v>0.25671641791044786</v>
      </c>
      <c r="AT73" s="58" t="str">
        <f t="shared" si="81"/>
        <v>0</v>
      </c>
      <c r="AU73" s="58">
        <f t="shared" si="81"/>
        <v>6.5552238805970262E-2</v>
      </c>
      <c r="AV73" s="58">
        <f t="shared" si="81"/>
        <v>0.23259701492537327</v>
      </c>
      <c r="AW73" s="58" t="str">
        <f t="shared" si="81"/>
        <v>0</v>
      </c>
      <c r="AX73" s="59" t="str">
        <f t="shared" ref="AX73:BD73" si="82">IF(AX58&lt;=$AZ$65,"1",IF(AX58&gt;$BA$65,"0",($BA$65-AX58)/($BA$65-$AZ$65)))</f>
        <v>0</v>
      </c>
      <c r="AY73" s="59" t="str">
        <f t="shared" si="82"/>
        <v>0</v>
      </c>
      <c r="AZ73" s="59" t="str">
        <f t="shared" si="82"/>
        <v>0</v>
      </c>
      <c r="BA73" s="59" t="str">
        <f t="shared" si="82"/>
        <v>0</v>
      </c>
      <c r="BB73" s="59" t="str">
        <f t="shared" si="82"/>
        <v>0</v>
      </c>
      <c r="BC73" s="59" t="str">
        <f t="shared" si="82"/>
        <v>0</v>
      </c>
      <c r="BD73" s="59" t="str">
        <f t="shared" si="82"/>
        <v>0</v>
      </c>
    </row>
    <row r="74" spans="1:56" x14ac:dyDescent="0.25">
      <c r="A74" s="58">
        <f t="shared" ref="A74:G74" si="83">IF(A59&lt;=$C$65,"1",IF(A59&gt;$D$65,"0",($D$65-A59)/($D$65-$C$65)))</f>
        <v>0.2287022900763363</v>
      </c>
      <c r="B74" s="58">
        <f t="shared" si="83"/>
        <v>0.66473282442748083</v>
      </c>
      <c r="C74" s="58">
        <f t="shared" si="83"/>
        <v>0.52793893129771008</v>
      </c>
      <c r="D74" s="58" t="str">
        <f t="shared" si="83"/>
        <v>0</v>
      </c>
      <c r="E74" s="58" t="str">
        <f t="shared" si="83"/>
        <v>1</v>
      </c>
      <c r="F74" s="58" t="str">
        <f t="shared" si="83"/>
        <v>0</v>
      </c>
      <c r="G74" s="58" t="str">
        <f t="shared" si="83"/>
        <v>1</v>
      </c>
      <c r="H74" s="59">
        <f t="shared" ref="H74:N74" si="84">IF(H59&lt;=$J$65,"1",IF(H59&gt;$K$65,"0",($K$65-H59)/($K$65-$J$65)))</f>
        <v>0.58582502768549261</v>
      </c>
      <c r="I74" s="59">
        <f t="shared" si="84"/>
        <v>0.55287929125138402</v>
      </c>
      <c r="J74" s="59" t="str">
        <f t="shared" si="84"/>
        <v>1</v>
      </c>
      <c r="K74" s="59" t="str">
        <f t="shared" si="84"/>
        <v>0</v>
      </c>
      <c r="L74" s="59">
        <f>IF(L59&lt;=$J$65,"1",IF(L59&gt;$K$65,"0",($K$65-L59)/($K$65-$J$65)))</f>
        <v>0.67455703211517137</v>
      </c>
      <c r="M74" s="59">
        <f t="shared" si="84"/>
        <v>0.33693244739756356</v>
      </c>
      <c r="N74" s="59" t="str">
        <f t="shared" si="84"/>
        <v>1</v>
      </c>
      <c r="O74" s="58" t="str">
        <f t="shared" ref="O74:U74" si="85">IF(O59&lt;=$Q$65,"1",IF(O59&gt;$R$65,"0",($R$65-O59)/($R$65-$Q$65)))</f>
        <v>0</v>
      </c>
      <c r="P74" s="58">
        <f t="shared" si="85"/>
        <v>0.40314378178455851</v>
      </c>
      <c r="Q74" s="58">
        <f t="shared" si="85"/>
        <v>0.3183079056865466</v>
      </c>
      <c r="R74" s="58">
        <f t="shared" si="85"/>
        <v>0.49699491447064265</v>
      </c>
      <c r="S74" s="58">
        <f t="shared" si="85"/>
        <v>0.41585760517799358</v>
      </c>
      <c r="T74" s="58">
        <f t="shared" si="85"/>
        <v>0.31946370781322248</v>
      </c>
      <c r="U74" s="58" t="str">
        <f t="shared" si="85"/>
        <v>0</v>
      </c>
      <c r="V74" s="59">
        <f t="shared" ref="V74:AB74" si="86">IF(V59&lt;=$X$65,"1",IF(V59&gt;$Y$65,"0",($Y$65-V59)/($Y$65-$X$65)))</f>
        <v>0.73743500866551104</v>
      </c>
      <c r="W74" s="59">
        <f t="shared" si="86"/>
        <v>0.53264009243211996</v>
      </c>
      <c r="X74" s="59">
        <f t="shared" si="86"/>
        <v>0.98021374927787364</v>
      </c>
      <c r="Y74" s="59" t="str">
        <f t="shared" si="86"/>
        <v>0</v>
      </c>
      <c r="Z74" s="59" t="str">
        <f t="shared" si="86"/>
        <v>1</v>
      </c>
      <c r="AA74" s="59" t="str">
        <f t="shared" si="86"/>
        <v>1</v>
      </c>
      <c r="AB74" s="59" t="str">
        <f t="shared" si="86"/>
        <v>1</v>
      </c>
      <c r="AC74" s="58" t="str">
        <f t="shared" ref="AC74:AI74" si="87">IF(AC59&lt;=$AE$65,"1",IF(AC59&gt;$AF$65,"0",($AF$65-AC59)/($AF$65-$AE$65)))</f>
        <v>0</v>
      </c>
      <c r="AD74" s="58" t="str">
        <f t="shared" si="87"/>
        <v>0</v>
      </c>
      <c r="AE74" s="58">
        <f t="shared" si="87"/>
        <v>0.19246861924686193</v>
      </c>
      <c r="AF74" s="58">
        <f t="shared" si="87"/>
        <v>0.72410295422847715</v>
      </c>
      <c r="AG74" s="58">
        <f t="shared" si="87"/>
        <v>6.3395460885000672E-3</v>
      </c>
      <c r="AH74" s="58">
        <f t="shared" si="87"/>
        <v>0.64409788259160627</v>
      </c>
      <c r="AI74" s="58">
        <f t="shared" si="87"/>
        <v>0.69735006973500691</v>
      </c>
      <c r="AJ74" s="59">
        <f t="shared" ref="AJ74:AP74" si="88">IF(AJ59&lt;=$AL$65,"1",IF(AJ59&gt;$AM$65,"0",($AM$65-AJ59)/($AM$65-$AL$65)))</f>
        <v>0.91080597014925391</v>
      </c>
      <c r="AK74" s="59">
        <f t="shared" si="88"/>
        <v>0.72740298507462708</v>
      </c>
      <c r="AL74" s="59">
        <f t="shared" si="88"/>
        <v>0.7518805970149256</v>
      </c>
      <c r="AM74" s="59">
        <f t="shared" si="88"/>
        <v>0.25671641791044786</v>
      </c>
      <c r="AN74" s="59" t="str">
        <f t="shared" si="88"/>
        <v>1</v>
      </c>
      <c r="AO74" s="59">
        <f t="shared" si="88"/>
        <v>0.4150447761194031</v>
      </c>
      <c r="AP74" s="59">
        <f t="shared" si="88"/>
        <v>0.78901492537313445</v>
      </c>
      <c r="AQ74" s="58">
        <f t="shared" ref="AQ74:AW74" si="89">IF(AQ59&lt;=$AS$65,"1",IF(AQ59&gt;$AT$65,"0",($AT$65-AQ59)/($AT$65-$AS$65)))</f>
        <v>0.69229850746268673</v>
      </c>
      <c r="AR74" s="58">
        <f t="shared" si="89"/>
        <v>0.22173134328358221</v>
      </c>
      <c r="AS74" s="58">
        <f t="shared" si="89"/>
        <v>0.60680597014925386</v>
      </c>
      <c r="AT74" s="58">
        <f t="shared" si="89"/>
        <v>0.25671641791044786</v>
      </c>
      <c r="AU74" s="58">
        <f t="shared" si="89"/>
        <v>0.41564179104477628</v>
      </c>
      <c r="AV74" s="58">
        <f t="shared" si="89"/>
        <v>0.58268656716417933</v>
      </c>
      <c r="AW74" s="58">
        <f t="shared" si="89"/>
        <v>0.18232835820895535</v>
      </c>
      <c r="AX74" s="59" t="str">
        <f t="shared" ref="AX74:BD74" si="90">IF(AX59&lt;=$AZ$65,"1",IF(AX59&gt;$BA$65,"0",($BA$65-AX59)/($BA$65-$AZ$65)))</f>
        <v>0</v>
      </c>
      <c r="AY74" s="59" t="str">
        <f t="shared" si="90"/>
        <v>0</v>
      </c>
      <c r="AZ74" s="59" t="str">
        <f t="shared" si="90"/>
        <v>0</v>
      </c>
      <c r="BA74" s="59" t="str">
        <f t="shared" si="90"/>
        <v>0</v>
      </c>
      <c r="BB74" s="59" t="str">
        <f t="shared" si="90"/>
        <v>0</v>
      </c>
      <c r="BC74" s="59" t="str">
        <f t="shared" si="90"/>
        <v>0</v>
      </c>
      <c r="BD74" s="59" t="str">
        <f t="shared" si="90"/>
        <v>0</v>
      </c>
    </row>
    <row r="75" spans="1:56" x14ac:dyDescent="0.25">
      <c r="A75" s="58" t="str">
        <f t="shared" ref="A75:G75" si="91">IF(A60&lt;=$C$65,"1",IF(A60&gt;$D$65,"0",($D$65-A60)/($D$65-$C$65)))</f>
        <v>0</v>
      </c>
      <c r="B75" s="58" t="str">
        <f t="shared" si="91"/>
        <v>0</v>
      </c>
      <c r="C75" s="58" t="str">
        <f t="shared" si="91"/>
        <v>0</v>
      </c>
      <c r="D75" s="58" t="str">
        <f t="shared" si="91"/>
        <v>0</v>
      </c>
      <c r="E75" s="58" t="str">
        <f t="shared" si="91"/>
        <v>0</v>
      </c>
      <c r="F75" s="58" t="str">
        <f t="shared" si="91"/>
        <v>0</v>
      </c>
      <c r="G75" s="58" t="str">
        <f t="shared" si="91"/>
        <v>0</v>
      </c>
      <c r="H75" s="59" t="str">
        <f t="shared" ref="H75:N75" si="92">IF(H60&lt;=$J$65,"1",IF(H60&gt;$K$65,"0",($K$65-H60)/($K$65-$J$65)))</f>
        <v>0</v>
      </c>
      <c r="I75" s="59" t="str">
        <f t="shared" si="92"/>
        <v>0</v>
      </c>
      <c r="J75" s="59">
        <f t="shared" si="92"/>
        <v>8.3887043189368654E-2</v>
      </c>
      <c r="K75" s="59" t="str">
        <f t="shared" si="92"/>
        <v>0</v>
      </c>
      <c r="L75" s="59" t="str">
        <f t="shared" si="92"/>
        <v>0</v>
      </c>
      <c r="M75" s="59" t="str">
        <f t="shared" si="92"/>
        <v>0</v>
      </c>
      <c r="N75" s="59">
        <f t="shared" si="92"/>
        <v>0.36973975636766321</v>
      </c>
      <c r="O75" s="58" t="str">
        <f t="shared" ref="O75:U75" si="93">IF(O60&lt;=$Q$65,"1",IF(O60&gt;$R$65,"0",($R$65-O60)/($R$65-$Q$65)))</f>
        <v>0</v>
      </c>
      <c r="P75" s="58">
        <f t="shared" si="93"/>
        <v>0.48428109107720757</v>
      </c>
      <c r="Q75" s="58">
        <f t="shared" si="93"/>
        <v>0.39944521497919555</v>
      </c>
      <c r="R75" s="58">
        <f t="shared" si="93"/>
        <v>0.57813222376329176</v>
      </c>
      <c r="S75" s="58">
        <f t="shared" si="93"/>
        <v>0.49699491447064265</v>
      </c>
      <c r="T75" s="58">
        <f t="shared" si="93"/>
        <v>0.40060101710587148</v>
      </c>
      <c r="U75" s="58" t="str">
        <f t="shared" si="93"/>
        <v>0</v>
      </c>
      <c r="V75" s="59" t="str">
        <f t="shared" ref="V75:AB75" si="94">IF(V60&lt;=$X$65,"1",IF(V60&gt;$Y$65,"0",($Y$65-V60)/($Y$65-$X$65)))</f>
        <v>0</v>
      </c>
      <c r="W75" s="59" t="str">
        <f t="shared" si="94"/>
        <v>0</v>
      </c>
      <c r="X75" s="59" t="str">
        <f t="shared" si="94"/>
        <v>0</v>
      </c>
      <c r="Y75" s="59" t="str">
        <f t="shared" si="94"/>
        <v>0</v>
      </c>
      <c r="Z75" s="59" t="str">
        <f t="shared" si="94"/>
        <v>0</v>
      </c>
      <c r="AA75" s="59" t="str">
        <f t="shared" si="94"/>
        <v>0</v>
      </c>
      <c r="AB75" s="59" t="str">
        <f t="shared" si="94"/>
        <v>0</v>
      </c>
      <c r="AC75" s="58">
        <f t="shared" ref="AC75:AI75" si="95">IF(AC60&lt;=$AE$65,"1",IF(AC60&gt;$AF$65,"0",($AF$65-AC60)/($AF$65-$AE$65)))</f>
        <v>0.5306200076074552</v>
      </c>
      <c r="AD75" s="58">
        <f t="shared" si="95"/>
        <v>0.70812729808545694</v>
      </c>
      <c r="AE75" s="58">
        <f t="shared" si="95"/>
        <v>0.91023202738683906</v>
      </c>
      <c r="AF75" s="58" t="str">
        <f t="shared" si="95"/>
        <v>1</v>
      </c>
      <c r="AG75" s="58">
        <f t="shared" si="95"/>
        <v>0.72410295422847715</v>
      </c>
      <c r="AH75" s="58" t="str">
        <f t="shared" si="95"/>
        <v>1</v>
      </c>
      <c r="AI75" s="58" t="str">
        <f t="shared" si="95"/>
        <v>1</v>
      </c>
      <c r="AJ75" s="59">
        <f t="shared" ref="AJ75:AP75" si="96">IF(AJ60&lt;=$AL$65,"1",IF(AJ60&gt;$AM$65,"0",($AM$65-AJ60)/($AM$65-$AL$65)))</f>
        <v>0.10626865671641801</v>
      </c>
      <c r="AK75" s="59" t="str">
        <f t="shared" si="96"/>
        <v>0</v>
      </c>
      <c r="AL75" s="59" t="str">
        <f t="shared" si="96"/>
        <v>0</v>
      </c>
      <c r="AM75" s="59" t="str">
        <f t="shared" si="96"/>
        <v>0</v>
      </c>
      <c r="AN75" s="59">
        <f t="shared" si="96"/>
        <v>0.25671641791044786</v>
      </c>
      <c r="AO75" s="59" t="str">
        <f t="shared" si="96"/>
        <v>0</v>
      </c>
      <c r="AP75" s="59" t="str">
        <f t="shared" si="96"/>
        <v>0</v>
      </c>
      <c r="AQ75" s="58">
        <f t="shared" ref="AQ75:AW75" si="97">IF(AQ60&lt;=$AS$65,"1",IF(AQ60&gt;$AT$65,"0",($AT$65-AQ60)/($AT$65-$AS$65)))</f>
        <v>0.53337313432835842</v>
      </c>
      <c r="AR75" s="58">
        <f t="shared" si="97"/>
        <v>6.2805970149253848E-2</v>
      </c>
      <c r="AS75" s="58">
        <f t="shared" si="97"/>
        <v>0.44788059701492555</v>
      </c>
      <c r="AT75" s="58">
        <f t="shared" si="97"/>
        <v>9.779104477611951E-2</v>
      </c>
      <c r="AU75" s="58">
        <f t="shared" si="97"/>
        <v>0.25671641791044786</v>
      </c>
      <c r="AV75" s="58">
        <f t="shared" si="97"/>
        <v>0.42376119402985091</v>
      </c>
      <c r="AW75" s="58">
        <f t="shared" si="97"/>
        <v>2.3402985074626976E-2</v>
      </c>
      <c r="AX75" s="59" t="str">
        <f t="shared" ref="AX75:BD75" si="98">IF(AX60&lt;=$AZ$65,"1",IF(AX60&gt;$BA$65,"0",($BA$65-AX60)/($BA$65-$AZ$65)))</f>
        <v>0</v>
      </c>
      <c r="AY75" s="59" t="str">
        <f t="shared" si="98"/>
        <v>0</v>
      </c>
      <c r="AZ75" s="59" t="str">
        <f t="shared" si="98"/>
        <v>0</v>
      </c>
      <c r="BA75" s="59" t="str">
        <f t="shared" si="98"/>
        <v>0</v>
      </c>
      <c r="BB75" s="59" t="str">
        <f t="shared" si="98"/>
        <v>0</v>
      </c>
      <c r="BC75" s="59" t="str">
        <f t="shared" si="98"/>
        <v>0</v>
      </c>
      <c r="BD75" s="59" t="str">
        <f t="shared" si="98"/>
        <v>0</v>
      </c>
    </row>
    <row r="76" spans="1:56" x14ac:dyDescent="0.25">
      <c r="A76" s="58" t="str">
        <f t="shared" ref="A76:G76" si="99">IF(A61&lt;=$C$65,"1",IF(A61&gt;$D$65,"0",($D$65-A61)/($D$65-$C$65)))</f>
        <v>0</v>
      </c>
      <c r="B76" s="58" t="str">
        <f t="shared" si="99"/>
        <v>0</v>
      </c>
      <c r="C76" s="58" t="str">
        <f t="shared" si="99"/>
        <v>0</v>
      </c>
      <c r="D76" s="58" t="str">
        <f t="shared" si="99"/>
        <v>0</v>
      </c>
      <c r="E76" s="58">
        <f t="shared" si="99"/>
        <v>0.71816793893129771</v>
      </c>
      <c r="F76" s="58" t="str">
        <f t="shared" si="99"/>
        <v>0</v>
      </c>
      <c r="G76" s="58" t="str">
        <f t="shared" si="99"/>
        <v>1</v>
      </c>
      <c r="H76" s="59" t="str">
        <f t="shared" ref="H76:N76" si="100">IF(H61&lt;=$J$65,"1",IF(H61&gt;$K$65,"0",($K$65-H61)/($K$65-$J$65)))</f>
        <v>0</v>
      </c>
      <c r="I76" s="59" t="str">
        <f t="shared" si="100"/>
        <v>0</v>
      </c>
      <c r="J76" s="59">
        <f t="shared" si="100"/>
        <v>0.42151162790697655</v>
      </c>
      <c r="K76" s="59" t="str">
        <f t="shared" si="100"/>
        <v>0</v>
      </c>
      <c r="L76" s="59">
        <f t="shared" si="100"/>
        <v>3.6406423034329914E-2</v>
      </c>
      <c r="M76" s="59" t="str">
        <f t="shared" si="100"/>
        <v>0</v>
      </c>
      <c r="N76" s="59">
        <f t="shared" si="100"/>
        <v>0.70736434108527102</v>
      </c>
      <c r="O76" s="58" t="str">
        <f t="shared" ref="O76:U76" si="101">IF(O61&lt;=$Q$65,"1",IF(O61&gt;$R$65,"0",($R$65-O61)/($R$65-$Q$65)))</f>
        <v>0</v>
      </c>
      <c r="P76" s="58">
        <f t="shared" si="101"/>
        <v>0.58067498844197873</v>
      </c>
      <c r="Q76" s="58">
        <f t="shared" si="101"/>
        <v>0.49583911234396671</v>
      </c>
      <c r="R76" s="58">
        <f t="shared" si="101"/>
        <v>0.67452612112806276</v>
      </c>
      <c r="S76" s="58">
        <f>IF(S61&lt;=$Q$65,"1",IF(S61&gt;$R$65,"0",($R$65-S61)/($R$65-$Q$65)))</f>
        <v>0.59338881183541381</v>
      </c>
      <c r="T76" s="58">
        <f t="shared" si="101"/>
        <v>0.49699491447064265</v>
      </c>
      <c r="U76" s="58" t="str">
        <f t="shared" si="101"/>
        <v>0</v>
      </c>
      <c r="V76" s="59" t="str">
        <f t="shared" ref="V76:AB76" si="102">IF(V61&lt;=$X$65,"1",IF(V61&gt;$Y$65,"0",($Y$65-V61)/($Y$65-$X$65)))</f>
        <v>0</v>
      </c>
      <c r="W76" s="59" t="str">
        <f t="shared" si="102"/>
        <v>0</v>
      </c>
      <c r="X76" s="59" t="str">
        <f t="shared" si="102"/>
        <v>0</v>
      </c>
      <c r="Y76" s="59" t="str">
        <f t="shared" si="102"/>
        <v>0</v>
      </c>
      <c r="Z76" s="59" t="str">
        <f t="shared" si="102"/>
        <v>0</v>
      </c>
      <c r="AA76" s="59" t="str">
        <f t="shared" si="102"/>
        <v>0</v>
      </c>
      <c r="AB76" s="59" t="str">
        <f t="shared" si="102"/>
        <v>0</v>
      </c>
      <c r="AC76" s="58" t="str">
        <f t="shared" ref="AC76:AI76" si="103">IF(AC61&lt;=$AE$65,"1",IF(AC61&gt;$AF$65,"0",($AF$65-AC61)/($AF$65-$AE$65)))</f>
        <v>0</v>
      </c>
      <c r="AD76" s="58">
        <f t="shared" si="103"/>
        <v>7.0368961582350814E-2</v>
      </c>
      <c r="AE76" s="58">
        <f t="shared" si="103"/>
        <v>0.27247369088373269</v>
      </c>
      <c r="AF76" s="58">
        <f t="shared" si="103"/>
        <v>0.80410802586534802</v>
      </c>
      <c r="AG76" s="58">
        <f t="shared" si="103"/>
        <v>8.6344617725370901E-2</v>
      </c>
      <c r="AH76" s="58">
        <f t="shared" si="103"/>
        <v>0.72410295422847715</v>
      </c>
      <c r="AI76" s="58">
        <f t="shared" si="103"/>
        <v>0.77735514137187767</v>
      </c>
      <c r="AJ76" s="59">
        <f t="shared" ref="AJ76:AP76" si="104">IF(AJ61&lt;=$AL$65,"1",IF(AJ61&gt;$AM$65,"0",($AM$65-AJ61)/($AM$65-$AL$65)))</f>
        <v>0.75247761194029872</v>
      </c>
      <c r="AK76" s="59">
        <f t="shared" si="104"/>
        <v>0.56907462686567178</v>
      </c>
      <c r="AL76" s="59">
        <f t="shared" si="104"/>
        <v>0.5935522388059703</v>
      </c>
      <c r="AM76" s="59">
        <f t="shared" si="104"/>
        <v>9.8388059701492642E-2</v>
      </c>
      <c r="AN76" s="59">
        <f t="shared" si="104"/>
        <v>0.90292537313432852</v>
      </c>
      <c r="AO76" s="59">
        <f t="shared" si="104"/>
        <v>0.25671641791044786</v>
      </c>
      <c r="AP76" s="59">
        <f t="shared" si="104"/>
        <v>0.63068656716417915</v>
      </c>
      <c r="AQ76" s="58">
        <f t="shared" ref="AQ76:AW76" si="105">IF(AQ61&lt;=$AS$65,"1",IF(AQ61&gt;$AT$65,"0",($AT$65-AQ61)/($AT$65-$AS$65)))</f>
        <v>0.36632835820895537</v>
      </c>
      <c r="AR76" s="58" t="str">
        <f t="shared" si="105"/>
        <v>0</v>
      </c>
      <c r="AS76" s="58">
        <f t="shared" si="105"/>
        <v>0.2808358208955225</v>
      </c>
      <c r="AT76" s="58" t="str">
        <f t="shared" si="105"/>
        <v>0</v>
      </c>
      <c r="AU76" s="58">
        <f t="shared" si="105"/>
        <v>8.9671641791044879E-2</v>
      </c>
      <c r="AV76" s="58">
        <f t="shared" si="105"/>
        <v>0.25671641791044786</v>
      </c>
      <c r="AW76" s="58" t="str">
        <f t="shared" si="105"/>
        <v>0</v>
      </c>
      <c r="AX76" s="59">
        <f t="shared" ref="AX76:BD76" si="106">IF(AX61&lt;=$AZ$65,"1",IF(AX61&gt;$BA$65,"0",($BA$65-AX61)/($BA$65-$AZ$65)))</f>
        <v>0.17097719454707599</v>
      </c>
      <c r="AY76" s="59">
        <f t="shared" si="106"/>
        <v>0.19212638552681863</v>
      </c>
      <c r="AZ76" s="59">
        <f t="shared" si="106"/>
        <v>0.15377755128041778</v>
      </c>
      <c r="BA76" s="59">
        <f t="shared" si="106"/>
        <v>0.26907886354949673</v>
      </c>
      <c r="BB76" s="59">
        <f t="shared" si="106"/>
        <v>4.2680596254299812E-2</v>
      </c>
      <c r="BC76" s="59" t="str">
        <f t="shared" si="106"/>
        <v>0</v>
      </c>
      <c r="BD76" s="59">
        <f t="shared" si="106"/>
        <v>0.19824181424385262</v>
      </c>
    </row>
    <row r="77" spans="1:56" x14ac:dyDescent="0.25">
      <c r="A77" s="58" t="str">
        <f t="shared" ref="A77:G77" si="107">IF(A62&lt;=$C$65,"1",IF(A62&gt;$D$65,"0",($D$65-A62)/($D$65-$C$65)))</f>
        <v>0</v>
      </c>
      <c r="B77" s="58" t="str">
        <f t="shared" si="107"/>
        <v>0</v>
      </c>
      <c r="C77" s="58" t="str">
        <f t="shared" si="107"/>
        <v>0</v>
      </c>
      <c r="D77" s="58" t="str">
        <f t="shared" si="107"/>
        <v>0</v>
      </c>
      <c r="E77" s="58" t="str">
        <f t="shared" si="107"/>
        <v>0</v>
      </c>
      <c r="F77" s="58" t="str">
        <f t="shared" si="107"/>
        <v>0</v>
      </c>
      <c r="G77" s="58" t="str">
        <f t="shared" si="107"/>
        <v>0</v>
      </c>
      <c r="H77" s="59" t="str">
        <f t="shared" ref="H77:N77" si="108">IF(H62&lt;=$J$65,"1",IF(H62&gt;$K$65,"0",($K$65-H62)/($K$65-$J$65)))</f>
        <v>0</v>
      </c>
      <c r="I77" s="59" t="str">
        <f t="shared" si="108"/>
        <v>0</v>
      </c>
      <c r="J77" s="59" t="str">
        <f t="shared" si="108"/>
        <v>0</v>
      </c>
      <c r="K77" s="59" t="str">
        <f t="shared" si="108"/>
        <v>0</v>
      </c>
      <c r="L77" s="59" t="str">
        <f t="shared" si="108"/>
        <v>0</v>
      </c>
      <c r="M77" s="59" t="str">
        <f t="shared" si="108"/>
        <v>0</v>
      </c>
      <c r="N77" s="59" t="str">
        <f t="shared" si="108"/>
        <v>0</v>
      </c>
      <c r="O77" s="58">
        <f t="shared" ref="O77:U77" si="109">IF(O62&lt;=$Q$65,"1",IF(O62&gt;$R$65,"0",($R$65-O62)/($R$65-$Q$65)))</f>
        <v>0.43481276005547853</v>
      </c>
      <c r="P77" s="58" t="str">
        <f t="shared" si="109"/>
        <v>1</v>
      </c>
      <c r="Q77" s="58" t="str">
        <f t="shared" si="109"/>
        <v>1</v>
      </c>
      <c r="R77" s="58" t="str">
        <f t="shared" si="109"/>
        <v>1</v>
      </c>
      <c r="S77" s="58" t="str">
        <f t="shared" si="109"/>
        <v>1</v>
      </c>
      <c r="T77" s="58" t="str">
        <f t="shared" si="109"/>
        <v>1</v>
      </c>
      <c r="U77" s="58">
        <f t="shared" si="109"/>
        <v>0.49699491447064265</v>
      </c>
      <c r="V77" s="59" t="str">
        <f t="shared" ref="V77:AB77" si="110">IF(V62&lt;=$X$65,"1",IF(V62&gt;$Y$65,"0",($Y$65-V62)/($Y$65-$X$65)))</f>
        <v>0</v>
      </c>
      <c r="W77" s="59" t="str">
        <f t="shared" si="110"/>
        <v>0</v>
      </c>
      <c r="X77" s="59" t="str">
        <f t="shared" si="110"/>
        <v>0</v>
      </c>
      <c r="Y77" s="59" t="str">
        <f t="shared" si="110"/>
        <v>0</v>
      </c>
      <c r="Z77" s="59" t="str">
        <f t="shared" si="110"/>
        <v>0</v>
      </c>
      <c r="AA77" s="59" t="str">
        <f t="shared" si="110"/>
        <v>0</v>
      </c>
      <c r="AB77" s="59" t="str">
        <f t="shared" si="110"/>
        <v>0</v>
      </c>
      <c r="AC77" s="58" t="str">
        <f t="shared" ref="AC77:AI77" si="111">IF(AC62&lt;=$AE$65,"1",IF(AC62&gt;$AF$65,"0",($AF$65-AC62)/($AF$65-$AE$65)))</f>
        <v>0</v>
      </c>
      <c r="AD77" s="58">
        <f t="shared" si="111"/>
        <v>1.7116774438950252E-2</v>
      </c>
      <c r="AE77" s="58">
        <f t="shared" si="111"/>
        <v>0.21922150374033222</v>
      </c>
      <c r="AF77" s="58">
        <f t="shared" si="111"/>
        <v>0.75085583872194739</v>
      </c>
      <c r="AG77" s="58">
        <f t="shared" si="111"/>
        <v>3.3092430581970339E-2</v>
      </c>
      <c r="AH77" s="58">
        <f t="shared" si="111"/>
        <v>0.67085076708507663</v>
      </c>
      <c r="AI77" s="58">
        <f t="shared" si="111"/>
        <v>0.72410295422847715</v>
      </c>
      <c r="AJ77" s="59">
        <f t="shared" ref="AJ77:AP77" si="112">IF(AJ62&lt;=$AL$65,"1",IF(AJ62&gt;$AM$65,"0",($AM$65-AJ62)/($AM$65-$AL$65)))</f>
        <v>0.37850746268656726</v>
      </c>
      <c r="AK77" s="59">
        <f t="shared" si="112"/>
        <v>0.19510447761194041</v>
      </c>
      <c r="AL77" s="59">
        <f t="shared" si="112"/>
        <v>0.21958208955223893</v>
      </c>
      <c r="AM77" s="59" t="str">
        <f t="shared" si="112"/>
        <v>0</v>
      </c>
      <c r="AN77" s="59">
        <f t="shared" si="112"/>
        <v>0.52895522388059713</v>
      </c>
      <c r="AO77" s="59" t="str">
        <f t="shared" si="112"/>
        <v>0</v>
      </c>
      <c r="AP77" s="59">
        <f t="shared" si="112"/>
        <v>0.25671641791044786</v>
      </c>
      <c r="AQ77" s="58">
        <f t="shared" ref="AQ77:AW77" si="113">IF(AQ62&lt;=$AS$65,"1",IF(AQ62&gt;$AT$65,"0",($AT$65-AQ62)/($AT$65-$AS$65)))</f>
        <v>0.76668656716417938</v>
      </c>
      <c r="AR77" s="58">
        <f t="shared" si="113"/>
        <v>0.29611940298507478</v>
      </c>
      <c r="AS77" s="58">
        <f t="shared" si="113"/>
        <v>0.6811940298507464</v>
      </c>
      <c r="AT77" s="58">
        <f t="shared" si="113"/>
        <v>0.33110447761194045</v>
      </c>
      <c r="AU77" s="58">
        <f t="shared" si="113"/>
        <v>0.49002985074626881</v>
      </c>
      <c r="AV77" s="58">
        <f t="shared" si="113"/>
        <v>0.65707462686567175</v>
      </c>
      <c r="AW77" s="58">
        <f t="shared" si="113"/>
        <v>0.25671641791044786</v>
      </c>
      <c r="AX77" s="59" t="str">
        <f t="shared" ref="AX77:BD77" si="114">IF(AX62&lt;=$AZ$65,"1",IF(AX62&gt;$BA$65,"0",($BA$65-AX62)/($BA$65-$AZ$65)))</f>
        <v>0</v>
      </c>
      <c r="AY77" s="59" t="str">
        <f t="shared" si="114"/>
        <v>0</v>
      </c>
      <c r="AZ77" s="59" t="str">
        <f t="shared" si="114"/>
        <v>0</v>
      </c>
      <c r="BA77" s="59" t="str">
        <f t="shared" si="114"/>
        <v>0</v>
      </c>
      <c r="BB77" s="59" t="str">
        <f t="shared" si="114"/>
        <v>0</v>
      </c>
      <c r="BC77" s="59" t="str">
        <f t="shared" si="114"/>
        <v>0</v>
      </c>
      <c r="BD77" s="59" t="str">
        <f t="shared" si="114"/>
        <v>0</v>
      </c>
    </row>
    <row r="82" spans="1:56" x14ac:dyDescent="0.25">
      <c r="A82" s="89" t="s">
        <v>170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</row>
    <row r="83" spans="1:56" x14ac:dyDescent="0.25">
      <c r="A83" s="11">
        <v>1</v>
      </c>
      <c r="B83" s="11">
        <v>2</v>
      </c>
      <c r="C83" s="11">
        <v>3</v>
      </c>
      <c r="D83" s="11">
        <v>4</v>
      </c>
      <c r="E83" s="11">
        <v>5</v>
      </c>
      <c r="F83" s="11">
        <v>6</v>
      </c>
      <c r="G83" s="11">
        <v>7</v>
      </c>
      <c r="H83" s="11">
        <v>1</v>
      </c>
      <c r="I83" s="11">
        <v>2</v>
      </c>
      <c r="J83" s="11">
        <v>3</v>
      </c>
      <c r="K83" s="11">
        <v>4</v>
      </c>
      <c r="L83" s="11">
        <v>5</v>
      </c>
      <c r="M83" s="11">
        <v>6</v>
      </c>
      <c r="N83" s="11">
        <v>7</v>
      </c>
      <c r="O83" s="11">
        <v>1</v>
      </c>
      <c r="P83" s="11">
        <v>2</v>
      </c>
      <c r="Q83" s="11">
        <v>3</v>
      </c>
      <c r="R83" s="11">
        <v>4</v>
      </c>
      <c r="S83" s="11">
        <v>5</v>
      </c>
      <c r="T83" s="11">
        <v>6</v>
      </c>
      <c r="U83" s="11">
        <v>7</v>
      </c>
      <c r="V83" s="11">
        <v>1</v>
      </c>
      <c r="W83" s="11">
        <v>2</v>
      </c>
      <c r="X83" s="11">
        <v>3</v>
      </c>
      <c r="Y83" s="11">
        <v>4</v>
      </c>
      <c r="Z83" s="11">
        <v>5</v>
      </c>
      <c r="AA83" s="11">
        <v>6</v>
      </c>
      <c r="AB83" s="11">
        <v>7</v>
      </c>
      <c r="AC83" s="11">
        <v>1</v>
      </c>
      <c r="AD83" s="11">
        <v>2</v>
      </c>
      <c r="AE83" s="11">
        <v>3</v>
      </c>
      <c r="AF83" s="11">
        <v>4</v>
      </c>
      <c r="AG83" s="11">
        <v>5</v>
      </c>
      <c r="AH83" s="11">
        <v>6</v>
      </c>
      <c r="AI83" s="11">
        <v>7</v>
      </c>
      <c r="AJ83" s="11">
        <v>1</v>
      </c>
      <c r="AK83" s="11">
        <v>2</v>
      </c>
      <c r="AL83" s="11">
        <v>3</v>
      </c>
      <c r="AM83" s="11">
        <v>4</v>
      </c>
      <c r="AN83" s="11">
        <v>5</v>
      </c>
      <c r="AO83" s="11">
        <v>6</v>
      </c>
      <c r="AP83" s="11">
        <v>7</v>
      </c>
      <c r="AQ83" s="11">
        <v>1</v>
      </c>
      <c r="AR83" s="11">
        <v>2</v>
      </c>
      <c r="AS83" s="11">
        <v>3</v>
      </c>
      <c r="AT83" s="11">
        <v>4</v>
      </c>
      <c r="AU83" s="11">
        <v>5</v>
      </c>
      <c r="AV83" s="11">
        <v>6</v>
      </c>
      <c r="AW83" s="11">
        <v>7</v>
      </c>
      <c r="AX83" s="11">
        <v>1</v>
      </c>
      <c r="AY83" s="11">
        <v>2</v>
      </c>
      <c r="AZ83" s="11">
        <v>3</v>
      </c>
      <c r="BA83" s="11">
        <v>4</v>
      </c>
      <c r="BB83" s="11">
        <v>5</v>
      </c>
      <c r="BC83" s="11">
        <v>6</v>
      </c>
      <c r="BD83" s="11">
        <v>7</v>
      </c>
    </row>
    <row r="84" spans="1:56" x14ac:dyDescent="0.25">
      <c r="A84" s="113" t="s">
        <v>150</v>
      </c>
      <c r="B84" s="113"/>
      <c r="C84" s="113"/>
      <c r="D84" s="113"/>
      <c r="E84" s="113"/>
      <c r="F84" s="113"/>
      <c r="G84" s="113"/>
      <c r="H84" s="115" t="s">
        <v>151</v>
      </c>
      <c r="I84" s="115"/>
      <c r="J84" s="115"/>
      <c r="K84" s="115"/>
      <c r="L84" s="115"/>
      <c r="M84" s="115"/>
      <c r="N84" s="115"/>
      <c r="O84" s="116" t="s">
        <v>152</v>
      </c>
      <c r="P84" s="117"/>
      <c r="Q84" s="117"/>
      <c r="R84" s="117"/>
      <c r="S84" s="117"/>
      <c r="T84" s="117"/>
      <c r="U84" s="118"/>
      <c r="V84" s="115" t="s">
        <v>153</v>
      </c>
      <c r="W84" s="115"/>
      <c r="X84" s="115"/>
      <c r="Y84" s="115"/>
      <c r="Z84" s="115"/>
      <c r="AA84" s="115"/>
      <c r="AB84" s="115"/>
      <c r="AC84" s="116" t="s">
        <v>154</v>
      </c>
      <c r="AD84" s="117"/>
      <c r="AE84" s="117"/>
      <c r="AF84" s="117"/>
      <c r="AG84" s="117"/>
      <c r="AH84" s="117"/>
      <c r="AI84" s="118"/>
      <c r="AJ84" s="119" t="s">
        <v>156</v>
      </c>
      <c r="AK84" s="120"/>
      <c r="AL84" s="120"/>
      <c r="AM84" s="120"/>
      <c r="AN84" s="120"/>
      <c r="AO84" s="120"/>
      <c r="AP84" s="121"/>
      <c r="AQ84" s="116" t="s">
        <v>155</v>
      </c>
      <c r="AR84" s="117"/>
      <c r="AS84" s="117"/>
      <c r="AT84" s="117"/>
      <c r="AU84" s="117"/>
      <c r="AV84" s="117"/>
      <c r="AW84" s="118"/>
      <c r="AX84" s="119" t="s">
        <v>157</v>
      </c>
      <c r="AY84" s="120"/>
      <c r="AZ84" s="120"/>
      <c r="BA84" s="120"/>
      <c r="BB84" s="120"/>
      <c r="BC84" s="120"/>
      <c r="BD84" s="121"/>
    </row>
    <row r="85" spans="1:56" x14ac:dyDescent="0.25">
      <c r="A85" s="58">
        <v>0</v>
      </c>
      <c r="B85" s="58">
        <v>0</v>
      </c>
      <c r="C85" s="58">
        <v>0</v>
      </c>
      <c r="D85" s="58">
        <v>0</v>
      </c>
      <c r="E85" s="58">
        <v>0</v>
      </c>
      <c r="F85" s="58">
        <v>0</v>
      </c>
      <c r="G85" s="58">
        <v>0</v>
      </c>
      <c r="H85" s="59">
        <v>0</v>
      </c>
      <c r="I85" s="59">
        <v>0</v>
      </c>
      <c r="J85" s="59">
        <v>0.17261904761904748</v>
      </c>
      <c r="K85" s="59">
        <v>0</v>
      </c>
      <c r="L85" s="59">
        <v>0</v>
      </c>
      <c r="M85" s="59">
        <v>0</v>
      </c>
      <c r="N85" s="59">
        <v>0.45847176079734192</v>
      </c>
      <c r="O85" s="58">
        <v>0.49699491447064265</v>
      </c>
      <c r="P85" s="58">
        <v>1</v>
      </c>
      <c r="Q85" s="58">
        <v>1</v>
      </c>
      <c r="R85" s="58">
        <v>1</v>
      </c>
      <c r="S85" s="58">
        <v>1</v>
      </c>
      <c r="T85" s="58">
        <v>1</v>
      </c>
      <c r="U85" s="58">
        <v>0.55917706888580676</v>
      </c>
      <c r="V85" s="59">
        <v>0</v>
      </c>
      <c r="W85" s="59">
        <v>0</v>
      </c>
      <c r="X85" s="59">
        <v>0</v>
      </c>
      <c r="Y85" s="59">
        <v>0</v>
      </c>
      <c r="Z85" s="59">
        <v>0.24884459849797794</v>
      </c>
      <c r="AA85" s="59">
        <v>0</v>
      </c>
      <c r="AB85" s="59">
        <v>0.11568457538994792</v>
      </c>
      <c r="AC85" s="58">
        <v>0.72410295422847715</v>
      </c>
      <c r="AD85" s="58">
        <v>0.90161024470647888</v>
      </c>
      <c r="AE85" s="58">
        <v>1</v>
      </c>
      <c r="AF85" s="58">
        <v>1</v>
      </c>
      <c r="AG85" s="58">
        <v>0.91758590084949898</v>
      </c>
      <c r="AH85" s="58">
        <v>1</v>
      </c>
      <c r="AI85" s="58">
        <v>1</v>
      </c>
      <c r="AJ85" s="59">
        <v>0.25671641791044786</v>
      </c>
      <c r="AK85" s="59">
        <v>7.3313432835821021E-2</v>
      </c>
      <c r="AL85" s="59">
        <v>9.779104477611951E-2</v>
      </c>
      <c r="AM85" s="59">
        <v>0</v>
      </c>
      <c r="AN85" s="59">
        <v>0.40716417910447777</v>
      </c>
      <c r="AO85" s="59">
        <v>0</v>
      </c>
      <c r="AP85" s="59">
        <v>0.13492537313432848</v>
      </c>
      <c r="AQ85" s="58">
        <v>0.25671641791044786</v>
      </c>
      <c r="AR85" s="58">
        <v>0</v>
      </c>
      <c r="AS85" s="58">
        <v>0.17122388059701504</v>
      </c>
      <c r="AT85" s="58">
        <v>0</v>
      </c>
      <c r="AU85" s="58">
        <v>0</v>
      </c>
      <c r="AV85" s="58">
        <v>0.1471044776119404</v>
      </c>
      <c r="AW85" s="58">
        <v>0</v>
      </c>
      <c r="AX85" s="59">
        <v>0</v>
      </c>
      <c r="AY85" s="59">
        <v>0</v>
      </c>
      <c r="AZ85" s="59">
        <v>0</v>
      </c>
      <c r="BA85" s="59">
        <v>0</v>
      </c>
      <c r="BB85" s="59">
        <v>0</v>
      </c>
      <c r="BC85" s="59">
        <v>0</v>
      </c>
      <c r="BD85" s="59">
        <v>0</v>
      </c>
    </row>
    <row r="86" spans="1:56" x14ac:dyDescent="0.25">
      <c r="A86" s="58">
        <v>0</v>
      </c>
      <c r="B86" s="58">
        <v>0</v>
      </c>
      <c r="C86" s="58">
        <v>0</v>
      </c>
      <c r="D86" s="58">
        <v>0</v>
      </c>
      <c r="E86" s="58">
        <v>0</v>
      </c>
      <c r="F86" s="58">
        <v>0</v>
      </c>
      <c r="G86" s="58">
        <v>0</v>
      </c>
      <c r="H86" s="59">
        <v>0</v>
      </c>
      <c r="I86" s="59">
        <v>0</v>
      </c>
      <c r="J86" s="59">
        <v>0.20556478405315598</v>
      </c>
      <c r="K86" s="59">
        <v>0</v>
      </c>
      <c r="L86" s="59">
        <v>0</v>
      </c>
      <c r="M86" s="59">
        <v>0</v>
      </c>
      <c r="N86" s="59">
        <v>0.49141749723145051</v>
      </c>
      <c r="O86" s="58">
        <v>0</v>
      </c>
      <c r="P86" s="58">
        <v>0.49699491447064265</v>
      </c>
      <c r="Q86" s="58">
        <v>0.41215903837263063</v>
      </c>
      <c r="R86" s="58">
        <v>0.59084604715672673</v>
      </c>
      <c r="S86" s="58">
        <v>0.50970873786407767</v>
      </c>
      <c r="T86" s="58">
        <v>0.41331484049930656</v>
      </c>
      <c r="U86" s="58">
        <v>0</v>
      </c>
      <c r="V86" s="59">
        <v>0</v>
      </c>
      <c r="W86" s="59">
        <v>0</v>
      </c>
      <c r="X86" s="59">
        <v>0.13330444829578267</v>
      </c>
      <c r="Y86" s="59">
        <v>0</v>
      </c>
      <c r="Z86" s="59">
        <v>0.45363951473136888</v>
      </c>
      <c r="AA86" s="59">
        <v>0.16941074523396862</v>
      </c>
      <c r="AB86" s="59">
        <v>0.32047949162333894</v>
      </c>
      <c r="AC86" s="58">
        <v>0.54659566375047541</v>
      </c>
      <c r="AD86" s="58">
        <v>0.72410295422847715</v>
      </c>
      <c r="AE86" s="58">
        <v>0.92620768352985905</v>
      </c>
      <c r="AF86" s="58">
        <v>1</v>
      </c>
      <c r="AG86" s="58">
        <v>0.74007861037149736</v>
      </c>
      <c r="AH86" s="58">
        <v>1</v>
      </c>
      <c r="AI86" s="58">
        <v>1</v>
      </c>
      <c r="AJ86" s="59">
        <v>0.44011940298507474</v>
      </c>
      <c r="AK86" s="59">
        <v>0.25671641791044786</v>
      </c>
      <c r="AL86" s="59">
        <v>0.28119402985074637</v>
      </c>
      <c r="AM86" s="59">
        <v>0</v>
      </c>
      <c r="AN86" s="59">
        <v>0.59056716417910471</v>
      </c>
      <c r="AO86" s="59">
        <v>0</v>
      </c>
      <c r="AP86" s="59">
        <v>0.31832835820895533</v>
      </c>
      <c r="AQ86" s="58">
        <v>0.72728358208955246</v>
      </c>
      <c r="AR86" s="58">
        <v>0.25671641791044786</v>
      </c>
      <c r="AS86" s="58">
        <v>0.64179104477611959</v>
      </c>
      <c r="AT86" s="58">
        <v>0.29170149253731353</v>
      </c>
      <c r="AU86" s="58">
        <v>0.4506268656716419</v>
      </c>
      <c r="AV86" s="58">
        <v>0.61767164179104495</v>
      </c>
      <c r="AW86" s="58">
        <v>0.21731343283582102</v>
      </c>
      <c r="AX86" s="59">
        <v>0</v>
      </c>
      <c r="AY86" s="59">
        <v>0</v>
      </c>
      <c r="AZ86" s="59">
        <v>0</v>
      </c>
      <c r="BA86" s="59">
        <v>0</v>
      </c>
      <c r="BB86" s="59">
        <v>0</v>
      </c>
      <c r="BC86" s="59">
        <v>0</v>
      </c>
      <c r="BD86" s="59">
        <v>0</v>
      </c>
    </row>
    <row r="87" spans="1:56" x14ac:dyDescent="0.25">
      <c r="A87" s="58">
        <v>0</v>
      </c>
      <c r="B87" s="58">
        <v>0</v>
      </c>
      <c r="C87" s="58">
        <v>0</v>
      </c>
      <c r="D87" s="58">
        <v>0</v>
      </c>
      <c r="E87" s="58">
        <v>0</v>
      </c>
      <c r="F87" s="58">
        <v>0</v>
      </c>
      <c r="G87" s="58">
        <v>0</v>
      </c>
      <c r="H87" s="59">
        <v>0</v>
      </c>
      <c r="I87" s="59">
        <v>0</v>
      </c>
      <c r="J87" s="59">
        <v>0</v>
      </c>
      <c r="K87" s="59">
        <v>0</v>
      </c>
      <c r="L87" s="59">
        <v>0</v>
      </c>
      <c r="M87" s="59">
        <v>0</v>
      </c>
      <c r="N87" s="59">
        <v>0</v>
      </c>
      <c r="O87" s="58">
        <v>0</v>
      </c>
      <c r="P87" s="58">
        <v>0.58183079056865461</v>
      </c>
      <c r="Q87" s="58">
        <v>0.49699491447064265</v>
      </c>
      <c r="R87" s="58">
        <v>0.67568192325473864</v>
      </c>
      <c r="S87" s="58">
        <v>0.59454461396208969</v>
      </c>
      <c r="T87" s="58">
        <v>0.49815071659731858</v>
      </c>
      <c r="U87" s="58">
        <v>0</v>
      </c>
      <c r="V87" s="59">
        <v>0</v>
      </c>
      <c r="W87" s="59">
        <v>0</v>
      </c>
      <c r="X87" s="59">
        <v>0</v>
      </c>
      <c r="Y87" s="59">
        <v>0</v>
      </c>
      <c r="Z87" s="59">
        <v>6.0658578856151437E-3</v>
      </c>
      <c r="AA87" s="59">
        <v>0</v>
      </c>
      <c r="AB87" s="59">
        <v>0</v>
      </c>
      <c r="AC87" s="58">
        <v>0.34449093444909346</v>
      </c>
      <c r="AD87" s="58">
        <v>0.52199822492709513</v>
      </c>
      <c r="AE87" s="58">
        <v>0.72410295422847715</v>
      </c>
      <c r="AF87" s="58">
        <v>1</v>
      </c>
      <c r="AG87" s="58">
        <v>0.53797388107011523</v>
      </c>
      <c r="AH87" s="58">
        <v>1</v>
      </c>
      <c r="AI87" s="58">
        <v>1</v>
      </c>
      <c r="AJ87" s="59">
        <v>0.41564179104477628</v>
      </c>
      <c r="AK87" s="59">
        <v>0.2322388059701494</v>
      </c>
      <c r="AL87" s="59">
        <v>0.25671641791044786</v>
      </c>
      <c r="AM87" s="59">
        <v>0</v>
      </c>
      <c r="AN87" s="59">
        <v>0.56608955223880608</v>
      </c>
      <c r="AO87" s="59">
        <v>0</v>
      </c>
      <c r="AP87" s="59">
        <v>0.29385074626865682</v>
      </c>
      <c r="AQ87" s="58">
        <v>0.34220895522388073</v>
      </c>
      <c r="AR87" s="58">
        <v>0</v>
      </c>
      <c r="AS87" s="58">
        <v>0.25671641791044786</v>
      </c>
      <c r="AT87" s="58">
        <v>0</v>
      </c>
      <c r="AU87" s="58">
        <v>6.5552238805970262E-2</v>
      </c>
      <c r="AV87" s="58">
        <v>0.23259701492537327</v>
      </c>
      <c r="AW87" s="58">
        <v>0</v>
      </c>
      <c r="AX87" s="59">
        <v>0</v>
      </c>
      <c r="AY87" s="59">
        <v>0</v>
      </c>
      <c r="AZ87" s="59">
        <v>0</v>
      </c>
      <c r="BA87" s="59">
        <v>0</v>
      </c>
      <c r="BB87" s="59">
        <v>0</v>
      </c>
      <c r="BC87" s="59">
        <v>0</v>
      </c>
      <c r="BD87" s="59">
        <v>0</v>
      </c>
    </row>
    <row r="88" spans="1:56" x14ac:dyDescent="0.25">
      <c r="A88" s="58">
        <v>0.2287022900763363</v>
      </c>
      <c r="B88" s="58">
        <v>0.66473282442748083</v>
      </c>
      <c r="C88" s="58">
        <v>0.52793893129771008</v>
      </c>
      <c r="D88" s="58">
        <v>0</v>
      </c>
      <c r="E88" s="58">
        <v>1</v>
      </c>
      <c r="F88" s="58">
        <v>0</v>
      </c>
      <c r="G88" s="58">
        <v>1</v>
      </c>
      <c r="H88" s="59">
        <v>0.58582502768549261</v>
      </c>
      <c r="I88" s="59">
        <v>0.55287929125138402</v>
      </c>
      <c r="J88" s="59">
        <v>1</v>
      </c>
      <c r="K88" s="59">
        <v>0</v>
      </c>
      <c r="L88" s="59">
        <v>0.67455703211517137</v>
      </c>
      <c r="M88" s="59">
        <v>0.33693244739756356</v>
      </c>
      <c r="N88" s="59">
        <v>1</v>
      </c>
      <c r="O88" s="58">
        <v>0</v>
      </c>
      <c r="P88" s="58">
        <v>0.40314378178455851</v>
      </c>
      <c r="Q88" s="58">
        <v>0.3183079056865466</v>
      </c>
      <c r="R88" s="58">
        <v>0.49699491447064265</v>
      </c>
      <c r="S88" s="58">
        <v>0.41585760517799358</v>
      </c>
      <c r="T88" s="58">
        <v>0.31946370781322248</v>
      </c>
      <c r="U88" s="58">
        <v>0</v>
      </c>
      <c r="V88" s="59">
        <v>0.73743500866551104</v>
      </c>
      <c r="W88" s="59">
        <v>0.53264009243211996</v>
      </c>
      <c r="X88" s="59">
        <v>0.98021374927787364</v>
      </c>
      <c r="Y88" s="59">
        <v>0</v>
      </c>
      <c r="Z88" s="59">
        <v>1</v>
      </c>
      <c r="AA88" s="59">
        <v>1</v>
      </c>
      <c r="AB88" s="59">
        <v>1</v>
      </c>
      <c r="AC88" s="58">
        <v>0</v>
      </c>
      <c r="AD88" s="58">
        <v>0</v>
      </c>
      <c r="AE88" s="58">
        <v>0.19246861924686193</v>
      </c>
      <c r="AF88" s="58">
        <v>0.72410295422847715</v>
      </c>
      <c r="AG88" s="58">
        <v>6.3395460885000672E-3</v>
      </c>
      <c r="AH88" s="58">
        <v>0.64409788259160627</v>
      </c>
      <c r="AI88" s="58">
        <v>0.69735006973500691</v>
      </c>
      <c r="AJ88" s="59">
        <v>0.91080597014925391</v>
      </c>
      <c r="AK88" s="59">
        <v>0.72740298507462708</v>
      </c>
      <c r="AL88" s="59">
        <v>0.7518805970149256</v>
      </c>
      <c r="AM88" s="59">
        <v>0.25671641791044786</v>
      </c>
      <c r="AN88" s="59">
        <v>1</v>
      </c>
      <c r="AO88" s="59">
        <v>0.4150447761194031</v>
      </c>
      <c r="AP88" s="59">
        <v>0.78901492537313445</v>
      </c>
      <c r="AQ88" s="58">
        <v>0.69229850746268673</v>
      </c>
      <c r="AR88" s="58">
        <v>0.22173134328358221</v>
      </c>
      <c r="AS88" s="58">
        <v>0.60680597014925386</v>
      </c>
      <c r="AT88" s="58">
        <v>0.25671641791044786</v>
      </c>
      <c r="AU88" s="58">
        <v>0.41564179104477628</v>
      </c>
      <c r="AV88" s="58">
        <v>0.58268656716417933</v>
      </c>
      <c r="AW88" s="58">
        <v>0.18232835820895535</v>
      </c>
      <c r="AX88" s="59">
        <v>0</v>
      </c>
      <c r="AY88" s="59">
        <v>0</v>
      </c>
      <c r="AZ88" s="59">
        <v>0</v>
      </c>
      <c r="BA88" s="59">
        <v>0</v>
      </c>
      <c r="BB88" s="59">
        <v>0</v>
      </c>
      <c r="BC88" s="59">
        <v>0</v>
      </c>
      <c r="BD88" s="59">
        <v>0</v>
      </c>
    </row>
    <row r="89" spans="1:56" x14ac:dyDescent="0.25">
      <c r="A89" s="58">
        <v>0</v>
      </c>
      <c r="B89" s="58">
        <v>0</v>
      </c>
      <c r="C89" s="58">
        <v>0</v>
      </c>
      <c r="D89" s="58">
        <v>0</v>
      </c>
      <c r="E89" s="58">
        <v>0</v>
      </c>
      <c r="F89" s="58">
        <v>0</v>
      </c>
      <c r="G89" s="58">
        <v>0</v>
      </c>
      <c r="H89" s="59">
        <v>0</v>
      </c>
      <c r="I89" s="59">
        <v>0</v>
      </c>
      <c r="J89" s="59">
        <v>8.3887043189368654E-2</v>
      </c>
      <c r="K89" s="59">
        <v>0</v>
      </c>
      <c r="L89" s="59">
        <v>0</v>
      </c>
      <c r="M89" s="59">
        <v>0</v>
      </c>
      <c r="N89" s="59">
        <v>0.36973975636766321</v>
      </c>
      <c r="O89" s="58">
        <v>0</v>
      </c>
      <c r="P89" s="58">
        <v>0.48428109107720757</v>
      </c>
      <c r="Q89" s="58">
        <v>0.39944521497919555</v>
      </c>
      <c r="R89" s="58">
        <v>0.57813222376329176</v>
      </c>
      <c r="S89" s="58">
        <v>0.49699491447064265</v>
      </c>
      <c r="T89" s="58">
        <v>0.40060101710587148</v>
      </c>
      <c r="U89" s="58">
        <v>0</v>
      </c>
      <c r="V89" s="59">
        <v>0</v>
      </c>
      <c r="W89" s="59">
        <v>0</v>
      </c>
      <c r="X89" s="59">
        <v>0</v>
      </c>
      <c r="Y89" s="59">
        <v>0</v>
      </c>
      <c r="Z89" s="59">
        <v>0</v>
      </c>
      <c r="AA89" s="59">
        <v>0</v>
      </c>
      <c r="AB89" s="59">
        <v>0</v>
      </c>
      <c r="AC89" s="58">
        <v>0.5306200076074552</v>
      </c>
      <c r="AD89" s="58">
        <v>0.70812729808545694</v>
      </c>
      <c r="AE89" s="58">
        <v>0.91023202738683906</v>
      </c>
      <c r="AF89" s="58">
        <v>1</v>
      </c>
      <c r="AG89" s="58">
        <v>0.72410295422847715</v>
      </c>
      <c r="AH89" s="58">
        <v>1</v>
      </c>
      <c r="AI89" s="58">
        <v>1</v>
      </c>
      <c r="AJ89" s="59">
        <v>0.10626865671641801</v>
      </c>
      <c r="AK89" s="59">
        <v>0</v>
      </c>
      <c r="AL89" s="59">
        <v>0</v>
      </c>
      <c r="AM89" s="59">
        <v>0</v>
      </c>
      <c r="AN89" s="59">
        <v>0.25671641791044786</v>
      </c>
      <c r="AO89" s="59">
        <v>0</v>
      </c>
      <c r="AP89" s="59">
        <v>0</v>
      </c>
      <c r="AQ89" s="58">
        <v>0.53337313432835842</v>
      </c>
      <c r="AR89" s="58">
        <v>6.2805970149253848E-2</v>
      </c>
      <c r="AS89" s="58">
        <v>0.44788059701492555</v>
      </c>
      <c r="AT89" s="58">
        <v>9.779104477611951E-2</v>
      </c>
      <c r="AU89" s="58">
        <v>0.25671641791044786</v>
      </c>
      <c r="AV89" s="58">
        <v>0.42376119402985091</v>
      </c>
      <c r="AW89" s="58">
        <v>2.3402985074626976E-2</v>
      </c>
      <c r="AX89" s="59">
        <v>0</v>
      </c>
      <c r="AY89" s="59">
        <v>0</v>
      </c>
      <c r="AZ89" s="59">
        <v>0</v>
      </c>
      <c r="BA89" s="59">
        <v>0</v>
      </c>
      <c r="BB89" s="59">
        <v>0</v>
      </c>
      <c r="BC89" s="59">
        <v>0</v>
      </c>
      <c r="BD89" s="59">
        <v>0</v>
      </c>
    </row>
    <row r="90" spans="1:56" x14ac:dyDescent="0.25">
      <c r="A90" s="58">
        <v>0</v>
      </c>
      <c r="B90" s="58">
        <v>0</v>
      </c>
      <c r="C90" s="58">
        <v>0</v>
      </c>
      <c r="D90" s="58">
        <v>0</v>
      </c>
      <c r="E90" s="58">
        <v>0.71816793893129771</v>
      </c>
      <c r="F90" s="58">
        <v>0</v>
      </c>
      <c r="G90" s="58">
        <v>1</v>
      </c>
      <c r="H90" s="59">
        <v>0</v>
      </c>
      <c r="I90" s="59">
        <v>0</v>
      </c>
      <c r="J90" s="59">
        <v>0.42151162790697655</v>
      </c>
      <c r="K90" s="59">
        <v>0</v>
      </c>
      <c r="L90" s="59">
        <v>3.6406423034329914E-2</v>
      </c>
      <c r="M90" s="59">
        <v>0</v>
      </c>
      <c r="N90" s="59">
        <v>0.70736434108527102</v>
      </c>
      <c r="O90" s="58">
        <v>0</v>
      </c>
      <c r="P90" s="58">
        <v>0.58067498844197873</v>
      </c>
      <c r="Q90" s="58">
        <v>0.49583911234396671</v>
      </c>
      <c r="R90" s="58">
        <v>0.67452612112806276</v>
      </c>
      <c r="S90" s="58">
        <v>0.59338881183541381</v>
      </c>
      <c r="T90" s="58">
        <v>0.49699491447064265</v>
      </c>
      <c r="U90" s="58">
        <v>0</v>
      </c>
      <c r="V90" s="59">
        <v>0</v>
      </c>
      <c r="W90" s="59">
        <v>0</v>
      </c>
      <c r="X90" s="59">
        <v>0</v>
      </c>
      <c r="Y90" s="59">
        <v>0</v>
      </c>
      <c r="Z90" s="59">
        <v>0</v>
      </c>
      <c r="AA90" s="59">
        <v>0</v>
      </c>
      <c r="AB90" s="59">
        <v>0</v>
      </c>
      <c r="AC90" s="58">
        <v>0</v>
      </c>
      <c r="AD90" s="58">
        <v>7.0368961582350814E-2</v>
      </c>
      <c r="AE90" s="58">
        <v>0.27247369088373269</v>
      </c>
      <c r="AF90" s="58">
        <v>0.80410802586534802</v>
      </c>
      <c r="AG90" s="58">
        <v>8.6344617725370901E-2</v>
      </c>
      <c r="AH90" s="58">
        <v>0.72410295422847715</v>
      </c>
      <c r="AI90" s="58">
        <v>0.77735514137187767</v>
      </c>
      <c r="AJ90" s="59">
        <v>0.75247761194029872</v>
      </c>
      <c r="AK90" s="59">
        <v>0.56907462686567178</v>
      </c>
      <c r="AL90" s="59">
        <v>0.5935522388059703</v>
      </c>
      <c r="AM90" s="59">
        <v>9.8388059701492642E-2</v>
      </c>
      <c r="AN90" s="59">
        <v>0.90292537313432852</v>
      </c>
      <c r="AO90" s="59">
        <v>0.25671641791044786</v>
      </c>
      <c r="AP90" s="59">
        <v>0.63068656716417915</v>
      </c>
      <c r="AQ90" s="58">
        <v>0.36632835820895537</v>
      </c>
      <c r="AR90" s="58">
        <v>0</v>
      </c>
      <c r="AS90" s="58">
        <v>0.2808358208955225</v>
      </c>
      <c r="AT90" s="58">
        <v>0</v>
      </c>
      <c r="AU90" s="58">
        <v>8.9671641791044879E-2</v>
      </c>
      <c r="AV90" s="58">
        <v>0.25671641791044786</v>
      </c>
      <c r="AW90" s="58">
        <v>0</v>
      </c>
      <c r="AX90" s="59">
        <v>0.17097719454707599</v>
      </c>
      <c r="AY90" s="59">
        <v>0.19212638552681863</v>
      </c>
      <c r="AZ90" s="59">
        <v>0.15377755128041778</v>
      </c>
      <c r="BA90" s="59">
        <v>0.26907886354949673</v>
      </c>
      <c r="BB90" s="59">
        <v>4.2680596254299812E-2</v>
      </c>
      <c r="BC90" s="59">
        <v>0</v>
      </c>
      <c r="BD90" s="59">
        <v>0.19824181424385262</v>
      </c>
    </row>
    <row r="91" spans="1:56" x14ac:dyDescent="0.25">
      <c r="A91" s="58">
        <v>0</v>
      </c>
      <c r="B91" s="58">
        <v>0</v>
      </c>
      <c r="C91" s="58">
        <v>0</v>
      </c>
      <c r="D91" s="58">
        <v>0</v>
      </c>
      <c r="E91" s="58">
        <v>0</v>
      </c>
      <c r="F91" s="58">
        <v>0</v>
      </c>
      <c r="G91" s="58">
        <v>0</v>
      </c>
      <c r="H91" s="59">
        <v>0</v>
      </c>
      <c r="I91" s="59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8">
        <v>0.43481276005547853</v>
      </c>
      <c r="P91" s="58">
        <v>1</v>
      </c>
      <c r="Q91" s="58">
        <v>1</v>
      </c>
      <c r="R91" s="58">
        <v>1</v>
      </c>
      <c r="S91" s="58">
        <v>1</v>
      </c>
      <c r="T91" s="58">
        <v>1</v>
      </c>
      <c r="U91" s="58">
        <v>0.49699491447064265</v>
      </c>
      <c r="V91" s="59">
        <v>0</v>
      </c>
      <c r="W91" s="59">
        <v>0</v>
      </c>
      <c r="X91" s="59">
        <v>0</v>
      </c>
      <c r="Y91" s="59">
        <v>0</v>
      </c>
      <c r="Z91" s="59">
        <v>0</v>
      </c>
      <c r="AA91" s="59">
        <v>0</v>
      </c>
      <c r="AB91" s="59">
        <v>0</v>
      </c>
      <c r="AC91" s="58">
        <v>0</v>
      </c>
      <c r="AD91" s="58">
        <v>1.7116774438950252E-2</v>
      </c>
      <c r="AE91" s="58">
        <v>0.21922150374033222</v>
      </c>
      <c r="AF91" s="58">
        <v>0.75085583872194739</v>
      </c>
      <c r="AG91" s="58">
        <v>3.3092430581970339E-2</v>
      </c>
      <c r="AH91" s="58">
        <v>0.67085076708507663</v>
      </c>
      <c r="AI91" s="58">
        <v>0.72410295422847715</v>
      </c>
      <c r="AJ91" s="59">
        <v>0.37850746268656726</v>
      </c>
      <c r="AK91" s="59">
        <v>0.19510447761194041</v>
      </c>
      <c r="AL91" s="59">
        <v>0.21958208955223893</v>
      </c>
      <c r="AM91" s="59">
        <v>0</v>
      </c>
      <c r="AN91" s="59">
        <v>0.52895522388059713</v>
      </c>
      <c r="AO91" s="59">
        <v>0</v>
      </c>
      <c r="AP91" s="59">
        <v>0.25671641791044786</v>
      </c>
      <c r="AQ91" s="58">
        <v>0.76668656716417938</v>
      </c>
      <c r="AR91" s="58">
        <v>0.29611940298507478</v>
      </c>
      <c r="AS91" s="58">
        <v>0.6811940298507464</v>
      </c>
      <c r="AT91" s="58">
        <v>0.33110447761194045</v>
      </c>
      <c r="AU91" s="58">
        <v>0.49002985074626881</v>
      </c>
      <c r="AV91" s="58">
        <v>0.65707462686567175</v>
      </c>
      <c r="AW91" s="58">
        <v>0.25671641791044786</v>
      </c>
      <c r="AX91" s="59">
        <v>0</v>
      </c>
      <c r="AY91" s="59">
        <v>0</v>
      </c>
      <c r="AZ91" s="59">
        <v>0</v>
      </c>
      <c r="BA91" s="59">
        <v>0</v>
      </c>
      <c r="BB91" s="59">
        <v>0</v>
      </c>
      <c r="BC91" s="59">
        <v>0</v>
      </c>
      <c r="BD91" s="59">
        <v>0</v>
      </c>
    </row>
    <row r="96" spans="1:56" x14ac:dyDescent="0.25">
      <c r="A96" s="89" t="s">
        <v>171</v>
      </c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</row>
    <row r="97" spans="1:56" x14ac:dyDescent="0.25">
      <c r="A97" s="11">
        <v>1</v>
      </c>
      <c r="B97" s="11">
        <v>2</v>
      </c>
      <c r="C97" s="11">
        <v>3</v>
      </c>
      <c r="D97" s="11">
        <v>4</v>
      </c>
      <c r="E97" s="11">
        <v>5</v>
      </c>
      <c r="F97" s="11">
        <v>6</v>
      </c>
      <c r="G97" s="11">
        <v>7</v>
      </c>
      <c r="H97" s="11">
        <v>1</v>
      </c>
      <c r="I97" s="11">
        <v>2</v>
      </c>
      <c r="J97" s="11">
        <v>3</v>
      </c>
      <c r="K97" s="11">
        <v>4</v>
      </c>
      <c r="L97" s="11">
        <v>5</v>
      </c>
      <c r="M97" s="11">
        <v>6</v>
      </c>
      <c r="N97" s="11">
        <v>7</v>
      </c>
      <c r="O97" s="11">
        <v>1</v>
      </c>
      <c r="P97" s="11">
        <v>2</v>
      </c>
      <c r="Q97" s="11">
        <v>3</v>
      </c>
      <c r="R97" s="11">
        <v>4</v>
      </c>
      <c r="S97" s="11">
        <v>5</v>
      </c>
      <c r="T97" s="11">
        <v>6</v>
      </c>
      <c r="U97" s="11">
        <v>7</v>
      </c>
      <c r="V97" s="11">
        <v>1</v>
      </c>
      <c r="W97" s="11">
        <v>2</v>
      </c>
      <c r="X97" s="11">
        <v>3</v>
      </c>
      <c r="Y97" s="11">
        <v>4</v>
      </c>
      <c r="Z97" s="11">
        <v>5</v>
      </c>
      <c r="AA97" s="11">
        <v>6</v>
      </c>
      <c r="AB97" s="11">
        <v>7</v>
      </c>
      <c r="AC97" s="11">
        <v>1</v>
      </c>
      <c r="AD97" s="11">
        <v>2</v>
      </c>
      <c r="AE97" s="11">
        <v>3</v>
      </c>
      <c r="AF97" s="11">
        <v>4</v>
      </c>
      <c r="AG97" s="11">
        <v>5</v>
      </c>
      <c r="AH97" s="11">
        <v>6</v>
      </c>
      <c r="AI97" s="11">
        <v>7</v>
      </c>
      <c r="AJ97" s="11">
        <v>1</v>
      </c>
      <c r="AK97" s="11">
        <v>2</v>
      </c>
      <c r="AL97" s="11">
        <v>3</v>
      </c>
      <c r="AM97" s="11">
        <v>4</v>
      </c>
      <c r="AN97" s="11">
        <v>5</v>
      </c>
      <c r="AO97" s="11">
        <v>6</v>
      </c>
      <c r="AP97" s="11">
        <v>7</v>
      </c>
      <c r="AQ97" s="11">
        <v>1</v>
      </c>
      <c r="AR97" s="11">
        <v>2</v>
      </c>
      <c r="AS97" s="11">
        <v>3</v>
      </c>
      <c r="AT97" s="11">
        <v>4</v>
      </c>
      <c r="AU97" s="11">
        <v>5</v>
      </c>
      <c r="AV97" s="11">
        <v>6</v>
      </c>
      <c r="AW97" s="11">
        <v>7</v>
      </c>
      <c r="AX97" s="11">
        <v>1</v>
      </c>
      <c r="AY97" s="11">
        <v>2</v>
      </c>
      <c r="AZ97" s="11">
        <v>3</v>
      </c>
      <c r="BA97" s="11">
        <v>4</v>
      </c>
      <c r="BB97" s="11">
        <v>5</v>
      </c>
      <c r="BC97" s="11">
        <v>6</v>
      </c>
      <c r="BD97" s="11">
        <v>7</v>
      </c>
    </row>
    <row r="98" spans="1:56" x14ac:dyDescent="0.25">
      <c r="A98" s="113" t="s">
        <v>150</v>
      </c>
      <c r="B98" s="113"/>
      <c r="C98" s="113"/>
      <c r="D98" s="113"/>
      <c r="E98" s="113"/>
      <c r="F98" s="113"/>
      <c r="G98" s="113"/>
      <c r="H98" s="115" t="s">
        <v>151</v>
      </c>
      <c r="I98" s="115"/>
      <c r="J98" s="115"/>
      <c r="K98" s="115"/>
      <c r="L98" s="115"/>
      <c r="M98" s="115"/>
      <c r="N98" s="115"/>
      <c r="O98" s="116" t="s">
        <v>152</v>
      </c>
      <c r="P98" s="117"/>
      <c r="Q98" s="117"/>
      <c r="R98" s="117"/>
      <c r="S98" s="117"/>
      <c r="T98" s="117"/>
      <c r="U98" s="118"/>
      <c r="V98" s="115" t="s">
        <v>153</v>
      </c>
      <c r="W98" s="115"/>
      <c r="X98" s="115"/>
      <c r="Y98" s="115"/>
      <c r="Z98" s="115"/>
      <c r="AA98" s="115"/>
      <c r="AB98" s="115"/>
      <c r="AC98" s="116" t="s">
        <v>154</v>
      </c>
      <c r="AD98" s="117"/>
      <c r="AE98" s="117"/>
      <c r="AF98" s="117"/>
      <c r="AG98" s="117"/>
      <c r="AH98" s="117"/>
      <c r="AI98" s="118"/>
      <c r="AJ98" s="119" t="s">
        <v>156</v>
      </c>
      <c r="AK98" s="120"/>
      <c r="AL98" s="120"/>
      <c r="AM98" s="120"/>
      <c r="AN98" s="120"/>
      <c r="AO98" s="120"/>
      <c r="AP98" s="121"/>
      <c r="AQ98" s="116" t="s">
        <v>155</v>
      </c>
      <c r="AR98" s="117"/>
      <c r="AS98" s="117"/>
      <c r="AT98" s="117"/>
      <c r="AU98" s="117"/>
      <c r="AV98" s="117"/>
      <c r="AW98" s="118"/>
      <c r="AX98" s="119" t="s">
        <v>157</v>
      </c>
      <c r="AY98" s="120"/>
      <c r="AZ98" s="120"/>
      <c r="BA98" s="120"/>
      <c r="BB98" s="120"/>
      <c r="BC98" s="120"/>
      <c r="BD98" s="121"/>
    </row>
    <row r="99" spans="1:56" x14ac:dyDescent="0.25">
      <c r="A99" s="58">
        <f>ROUND(A85,4)</f>
        <v>0</v>
      </c>
      <c r="B99" s="58">
        <f t="shared" ref="B99:BD103" si="115">ROUND(B85,4)</f>
        <v>0</v>
      </c>
      <c r="C99" s="58">
        <f t="shared" si="115"/>
        <v>0</v>
      </c>
      <c r="D99" s="58">
        <f t="shared" si="115"/>
        <v>0</v>
      </c>
      <c r="E99" s="58">
        <f t="shared" si="115"/>
        <v>0</v>
      </c>
      <c r="F99" s="58">
        <f t="shared" si="115"/>
        <v>0</v>
      </c>
      <c r="G99" s="58">
        <f t="shared" si="115"/>
        <v>0</v>
      </c>
      <c r="H99" s="59">
        <f t="shared" si="115"/>
        <v>0</v>
      </c>
      <c r="I99" s="59">
        <f t="shared" si="115"/>
        <v>0</v>
      </c>
      <c r="J99" s="59">
        <f t="shared" si="115"/>
        <v>0.1726</v>
      </c>
      <c r="K99" s="59">
        <f t="shared" si="115"/>
        <v>0</v>
      </c>
      <c r="L99" s="59">
        <f t="shared" si="115"/>
        <v>0</v>
      </c>
      <c r="M99" s="59">
        <f t="shared" si="115"/>
        <v>0</v>
      </c>
      <c r="N99" s="59">
        <f t="shared" si="115"/>
        <v>0.45850000000000002</v>
      </c>
      <c r="O99" s="58">
        <f t="shared" si="115"/>
        <v>0.497</v>
      </c>
      <c r="P99" s="58">
        <f t="shared" si="115"/>
        <v>1</v>
      </c>
      <c r="Q99" s="58">
        <f t="shared" si="115"/>
        <v>1</v>
      </c>
      <c r="R99" s="58">
        <f t="shared" si="115"/>
        <v>1</v>
      </c>
      <c r="S99" s="58">
        <f t="shared" si="115"/>
        <v>1</v>
      </c>
      <c r="T99" s="58">
        <f t="shared" si="115"/>
        <v>1</v>
      </c>
      <c r="U99" s="58">
        <f t="shared" si="115"/>
        <v>0.55920000000000003</v>
      </c>
      <c r="V99" s="59">
        <f t="shared" si="115"/>
        <v>0</v>
      </c>
      <c r="W99" s="59">
        <f t="shared" si="115"/>
        <v>0</v>
      </c>
      <c r="X99" s="59">
        <f t="shared" si="115"/>
        <v>0</v>
      </c>
      <c r="Y99" s="59">
        <f t="shared" si="115"/>
        <v>0</v>
      </c>
      <c r="Z99" s="59">
        <f t="shared" si="115"/>
        <v>0.24879999999999999</v>
      </c>
      <c r="AA99" s="59">
        <f t="shared" si="115"/>
        <v>0</v>
      </c>
      <c r="AB99" s="59">
        <f t="shared" si="115"/>
        <v>0.1157</v>
      </c>
      <c r="AC99" s="58">
        <f t="shared" si="115"/>
        <v>0.72409999999999997</v>
      </c>
      <c r="AD99" s="58">
        <f t="shared" si="115"/>
        <v>0.90159999999999996</v>
      </c>
      <c r="AE99" s="58">
        <f t="shared" si="115"/>
        <v>1</v>
      </c>
      <c r="AF99" s="58">
        <f t="shared" si="115"/>
        <v>1</v>
      </c>
      <c r="AG99" s="58">
        <f t="shared" si="115"/>
        <v>0.91759999999999997</v>
      </c>
      <c r="AH99" s="58">
        <f t="shared" si="115"/>
        <v>1</v>
      </c>
      <c r="AI99" s="58">
        <f t="shared" si="115"/>
        <v>1</v>
      </c>
      <c r="AJ99" s="59">
        <f t="shared" si="115"/>
        <v>0.25669999999999998</v>
      </c>
      <c r="AK99" s="59">
        <f t="shared" si="115"/>
        <v>7.3300000000000004E-2</v>
      </c>
      <c r="AL99" s="59">
        <f t="shared" si="115"/>
        <v>9.7799999999999998E-2</v>
      </c>
      <c r="AM99" s="59">
        <f t="shared" si="115"/>
        <v>0</v>
      </c>
      <c r="AN99" s="59">
        <f t="shared" si="115"/>
        <v>0.40720000000000001</v>
      </c>
      <c r="AO99" s="59">
        <f t="shared" si="115"/>
        <v>0</v>
      </c>
      <c r="AP99" s="59">
        <f t="shared" si="115"/>
        <v>0.13489999999999999</v>
      </c>
      <c r="AQ99" s="58">
        <f t="shared" si="115"/>
        <v>0.25669999999999998</v>
      </c>
      <c r="AR99" s="58">
        <f t="shared" si="115"/>
        <v>0</v>
      </c>
      <c r="AS99" s="58">
        <f t="shared" si="115"/>
        <v>0.17119999999999999</v>
      </c>
      <c r="AT99" s="58">
        <f t="shared" si="115"/>
        <v>0</v>
      </c>
      <c r="AU99" s="58">
        <f t="shared" si="115"/>
        <v>0</v>
      </c>
      <c r="AV99" s="58">
        <f t="shared" si="115"/>
        <v>0.14710000000000001</v>
      </c>
      <c r="AW99" s="58">
        <f t="shared" si="115"/>
        <v>0</v>
      </c>
      <c r="AX99" s="59">
        <f t="shared" si="115"/>
        <v>0</v>
      </c>
      <c r="AY99" s="59">
        <f t="shared" si="115"/>
        <v>0</v>
      </c>
      <c r="AZ99" s="59">
        <f t="shared" si="115"/>
        <v>0</v>
      </c>
      <c r="BA99" s="59">
        <f t="shared" si="115"/>
        <v>0</v>
      </c>
      <c r="BB99" s="59">
        <f t="shared" si="115"/>
        <v>0</v>
      </c>
      <c r="BC99" s="59">
        <f t="shared" si="115"/>
        <v>0</v>
      </c>
      <c r="BD99" s="59">
        <f t="shared" si="115"/>
        <v>0</v>
      </c>
    </row>
    <row r="100" spans="1:56" x14ac:dyDescent="0.25">
      <c r="A100" s="58">
        <f t="shared" ref="A100:P105" si="116">ROUND(A86,4)</f>
        <v>0</v>
      </c>
      <c r="B100" s="58">
        <f t="shared" si="116"/>
        <v>0</v>
      </c>
      <c r="C100" s="58">
        <f t="shared" si="116"/>
        <v>0</v>
      </c>
      <c r="D100" s="58">
        <f t="shared" si="116"/>
        <v>0</v>
      </c>
      <c r="E100" s="58">
        <f t="shared" si="116"/>
        <v>0</v>
      </c>
      <c r="F100" s="58">
        <f t="shared" si="116"/>
        <v>0</v>
      </c>
      <c r="G100" s="58">
        <f t="shared" si="116"/>
        <v>0</v>
      </c>
      <c r="H100" s="59">
        <f t="shared" si="116"/>
        <v>0</v>
      </c>
      <c r="I100" s="59">
        <f t="shared" si="116"/>
        <v>0</v>
      </c>
      <c r="J100" s="59">
        <f t="shared" si="116"/>
        <v>0.2056</v>
      </c>
      <c r="K100" s="59">
        <f t="shared" si="116"/>
        <v>0</v>
      </c>
      <c r="L100" s="59">
        <f t="shared" si="116"/>
        <v>0</v>
      </c>
      <c r="M100" s="59">
        <f t="shared" si="116"/>
        <v>0</v>
      </c>
      <c r="N100" s="59">
        <f t="shared" si="116"/>
        <v>0.4914</v>
      </c>
      <c r="O100" s="58">
        <f t="shared" si="116"/>
        <v>0</v>
      </c>
      <c r="P100" s="58">
        <f t="shared" si="116"/>
        <v>0.497</v>
      </c>
      <c r="Q100" s="58">
        <f t="shared" si="115"/>
        <v>0.41220000000000001</v>
      </c>
      <c r="R100" s="58">
        <f t="shared" si="115"/>
        <v>0.59079999999999999</v>
      </c>
      <c r="S100" s="58">
        <f t="shared" si="115"/>
        <v>0.50970000000000004</v>
      </c>
      <c r="T100" s="58">
        <f t="shared" si="115"/>
        <v>0.4133</v>
      </c>
      <c r="U100" s="58">
        <f t="shared" si="115"/>
        <v>0</v>
      </c>
      <c r="V100" s="59">
        <f t="shared" si="115"/>
        <v>0</v>
      </c>
      <c r="W100" s="59">
        <f t="shared" si="115"/>
        <v>0</v>
      </c>
      <c r="X100" s="59">
        <f t="shared" si="115"/>
        <v>0.1333</v>
      </c>
      <c r="Y100" s="59">
        <f t="shared" si="115"/>
        <v>0</v>
      </c>
      <c r="Z100" s="59">
        <f t="shared" si="115"/>
        <v>0.4536</v>
      </c>
      <c r="AA100" s="59">
        <f t="shared" si="115"/>
        <v>0.1694</v>
      </c>
      <c r="AB100" s="59">
        <f t="shared" si="115"/>
        <v>0.32050000000000001</v>
      </c>
      <c r="AC100" s="58">
        <f t="shared" si="115"/>
        <v>0.54659999999999997</v>
      </c>
      <c r="AD100" s="58">
        <f t="shared" si="115"/>
        <v>0.72409999999999997</v>
      </c>
      <c r="AE100" s="58">
        <f t="shared" si="115"/>
        <v>0.92620000000000002</v>
      </c>
      <c r="AF100" s="58">
        <f t="shared" si="115"/>
        <v>1</v>
      </c>
      <c r="AG100" s="58">
        <f t="shared" si="115"/>
        <v>0.74009999999999998</v>
      </c>
      <c r="AH100" s="58">
        <f t="shared" si="115"/>
        <v>1</v>
      </c>
      <c r="AI100" s="58">
        <f t="shared" si="115"/>
        <v>1</v>
      </c>
      <c r="AJ100" s="59">
        <f t="shared" si="115"/>
        <v>0.44009999999999999</v>
      </c>
      <c r="AK100" s="59">
        <f t="shared" si="115"/>
        <v>0.25669999999999998</v>
      </c>
      <c r="AL100" s="59">
        <f t="shared" si="115"/>
        <v>0.28120000000000001</v>
      </c>
      <c r="AM100" s="59">
        <f t="shared" si="115"/>
        <v>0</v>
      </c>
      <c r="AN100" s="59">
        <f t="shared" si="115"/>
        <v>0.59060000000000001</v>
      </c>
      <c r="AO100" s="59">
        <f t="shared" si="115"/>
        <v>0</v>
      </c>
      <c r="AP100" s="59">
        <f t="shared" si="115"/>
        <v>0.31830000000000003</v>
      </c>
      <c r="AQ100" s="58">
        <f t="shared" si="115"/>
        <v>0.72729999999999995</v>
      </c>
      <c r="AR100" s="58">
        <f t="shared" si="115"/>
        <v>0.25669999999999998</v>
      </c>
      <c r="AS100" s="58">
        <f t="shared" si="115"/>
        <v>0.64180000000000004</v>
      </c>
      <c r="AT100" s="58">
        <f t="shared" si="115"/>
        <v>0.29170000000000001</v>
      </c>
      <c r="AU100" s="58">
        <f t="shared" si="115"/>
        <v>0.4506</v>
      </c>
      <c r="AV100" s="58">
        <f t="shared" si="115"/>
        <v>0.61770000000000003</v>
      </c>
      <c r="AW100" s="58">
        <f t="shared" si="115"/>
        <v>0.21729999999999999</v>
      </c>
      <c r="AX100" s="59">
        <f t="shared" si="115"/>
        <v>0</v>
      </c>
      <c r="AY100" s="59">
        <f t="shared" si="115"/>
        <v>0</v>
      </c>
      <c r="AZ100" s="59">
        <f t="shared" si="115"/>
        <v>0</v>
      </c>
      <c r="BA100" s="59">
        <f t="shared" si="115"/>
        <v>0</v>
      </c>
      <c r="BB100" s="59">
        <f t="shared" si="115"/>
        <v>0</v>
      </c>
      <c r="BC100" s="59">
        <f t="shared" si="115"/>
        <v>0</v>
      </c>
      <c r="BD100" s="59">
        <f t="shared" si="115"/>
        <v>0</v>
      </c>
    </row>
    <row r="101" spans="1:56" x14ac:dyDescent="0.25">
      <c r="A101" s="58">
        <f t="shared" si="116"/>
        <v>0</v>
      </c>
      <c r="B101" s="58">
        <f t="shared" si="115"/>
        <v>0</v>
      </c>
      <c r="C101" s="58">
        <f t="shared" si="115"/>
        <v>0</v>
      </c>
      <c r="D101" s="58">
        <f t="shared" si="115"/>
        <v>0</v>
      </c>
      <c r="E101" s="58">
        <f t="shared" si="115"/>
        <v>0</v>
      </c>
      <c r="F101" s="58">
        <f t="shared" si="115"/>
        <v>0</v>
      </c>
      <c r="G101" s="58">
        <f t="shared" si="115"/>
        <v>0</v>
      </c>
      <c r="H101" s="59">
        <f t="shared" si="115"/>
        <v>0</v>
      </c>
      <c r="I101" s="59">
        <f t="shared" si="115"/>
        <v>0</v>
      </c>
      <c r="J101" s="59">
        <f t="shared" si="115"/>
        <v>0</v>
      </c>
      <c r="K101" s="59">
        <f t="shared" si="115"/>
        <v>0</v>
      </c>
      <c r="L101" s="59">
        <f t="shared" si="115"/>
        <v>0</v>
      </c>
      <c r="M101" s="59">
        <f t="shared" si="115"/>
        <v>0</v>
      </c>
      <c r="N101" s="59">
        <f t="shared" si="115"/>
        <v>0</v>
      </c>
      <c r="O101" s="58">
        <f t="shared" si="115"/>
        <v>0</v>
      </c>
      <c r="P101" s="58">
        <f t="shared" si="115"/>
        <v>0.58179999999999998</v>
      </c>
      <c r="Q101" s="58">
        <f t="shared" si="115"/>
        <v>0.497</v>
      </c>
      <c r="R101" s="58">
        <f t="shared" si="115"/>
        <v>0.67569999999999997</v>
      </c>
      <c r="S101" s="58">
        <f t="shared" si="115"/>
        <v>0.59450000000000003</v>
      </c>
      <c r="T101" s="58">
        <f t="shared" si="115"/>
        <v>0.49819999999999998</v>
      </c>
      <c r="U101" s="58">
        <f t="shared" si="115"/>
        <v>0</v>
      </c>
      <c r="V101" s="59">
        <f t="shared" si="115"/>
        <v>0</v>
      </c>
      <c r="W101" s="59">
        <f t="shared" si="115"/>
        <v>0</v>
      </c>
      <c r="X101" s="59">
        <f t="shared" si="115"/>
        <v>0</v>
      </c>
      <c r="Y101" s="59">
        <f t="shared" si="115"/>
        <v>0</v>
      </c>
      <c r="Z101" s="59">
        <f t="shared" si="115"/>
        <v>6.1000000000000004E-3</v>
      </c>
      <c r="AA101" s="59">
        <f t="shared" si="115"/>
        <v>0</v>
      </c>
      <c r="AB101" s="59">
        <f t="shared" si="115"/>
        <v>0</v>
      </c>
      <c r="AC101" s="58">
        <f t="shared" si="115"/>
        <v>0.34449999999999997</v>
      </c>
      <c r="AD101" s="58">
        <f t="shared" si="115"/>
        <v>0.52200000000000002</v>
      </c>
      <c r="AE101" s="58">
        <f t="shared" si="115"/>
        <v>0.72409999999999997</v>
      </c>
      <c r="AF101" s="58">
        <f t="shared" si="115"/>
        <v>1</v>
      </c>
      <c r="AG101" s="58">
        <f t="shared" si="115"/>
        <v>0.53800000000000003</v>
      </c>
      <c r="AH101" s="58">
        <f t="shared" si="115"/>
        <v>1</v>
      </c>
      <c r="AI101" s="58">
        <f t="shared" si="115"/>
        <v>1</v>
      </c>
      <c r="AJ101" s="59">
        <f t="shared" si="115"/>
        <v>0.41560000000000002</v>
      </c>
      <c r="AK101" s="59">
        <f t="shared" si="115"/>
        <v>0.23219999999999999</v>
      </c>
      <c r="AL101" s="59">
        <f t="shared" si="115"/>
        <v>0.25669999999999998</v>
      </c>
      <c r="AM101" s="59">
        <f t="shared" si="115"/>
        <v>0</v>
      </c>
      <c r="AN101" s="59">
        <f t="shared" si="115"/>
        <v>0.56610000000000005</v>
      </c>
      <c r="AO101" s="59">
        <f t="shared" si="115"/>
        <v>0</v>
      </c>
      <c r="AP101" s="59">
        <f t="shared" si="115"/>
        <v>0.29389999999999999</v>
      </c>
      <c r="AQ101" s="58">
        <f t="shared" si="115"/>
        <v>0.3422</v>
      </c>
      <c r="AR101" s="58">
        <f t="shared" si="115"/>
        <v>0</v>
      </c>
      <c r="AS101" s="58">
        <f t="shared" si="115"/>
        <v>0.25669999999999998</v>
      </c>
      <c r="AT101" s="58">
        <f t="shared" si="115"/>
        <v>0</v>
      </c>
      <c r="AU101" s="58">
        <f t="shared" si="115"/>
        <v>6.5600000000000006E-2</v>
      </c>
      <c r="AV101" s="58">
        <f t="shared" si="115"/>
        <v>0.2326</v>
      </c>
      <c r="AW101" s="58">
        <f t="shared" si="115"/>
        <v>0</v>
      </c>
      <c r="AX101" s="59">
        <f t="shared" si="115"/>
        <v>0</v>
      </c>
      <c r="AY101" s="59">
        <f t="shared" si="115"/>
        <v>0</v>
      </c>
      <c r="AZ101" s="59">
        <f t="shared" si="115"/>
        <v>0</v>
      </c>
      <c r="BA101" s="59">
        <f t="shared" si="115"/>
        <v>0</v>
      </c>
      <c r="BB101" s="59">
        <f t="shared" si="115"/>
        <v>0</v>
      </c>
      <c r="BC101" s="59">
        <f t="shared" si="115"/>
        <v>0</v>
      </c>
      <c r="BD101" s="59">
        <f t="shared" si="115"/>
        <v>0</v>
      </c>
    </row>
    <row r="102" spans="1:56" x14ac:dyDescent="0.25">
      <c r="A102" s="58">
        <f t="shared" si="116"/>
        <v>0.22869999999999999</v>
      </c>
      <c r="B102" s="58">
        <f t="shared" si="115"/>
        <v>0.66469999999999996</v>
      </c>
      <c r="C102" s="58">
        <f t="shared" si="115"/>
        <v>0.52790000000000004</v>
      </c>
      <c r="D102" s="58">
        <f t="shared" si="115"/>
        <v>0</v>
      </c>
      <c r="E102" s="58">
        <f t="shared" si="115"/>
        <v>1</v>
      </c>
      <c r="F102" s="58">
        <f t="shared" si="115"/>
        <v>0</v>
      </c>
      <c r="G102" s="58">
        <f t="shared" si="115"/>
        <v>1</v>
      </c>
      <c r="H102" s="59">
        <f t="shared" si="115"/>
        <v>0.58579999999999999</v>
      </c>
      <c r="I102" s="59">
        <f t="shared" si="115"/>
        <v>0.55289999999999995</v>
      </c>
      <c r="J102" s="59">
        <f t="shared" si="115"/>
        <v>1</v>
      </c>
      <c r="K102" s="59">
        <f t="shared" si="115"/>
        <v>0</v>
      </c>
      <c r="L102" s="59">
        <f t="shared" si="115"/>
        <v>0.67459999999999998</v>
      </c>
      <c r="M102" s="59">
        <f t="shared" si="115"/>
        <v>0.33689999999999998</v>
      </c>
      <c r="N102" s="59">
        <f t="shared" si="115"/>
        <v>1</v>
      </c>
      <c r="O102" s="58">
        <f t="shared" si="115"/>
        <v>0</v>
      </c>
      <c r="P102" s="58">
        <f t="shared" si="115"/>
        <v>0.40310000000000001</v>
      </c>
      <c r="Q102" s="58">
        <f t="shared" si="115"/>
        <v>0.31830000000000003</v>
      </c>
      <c r="R102" s="58">
        <f t="shared" si="115"/>
        <v>0.497</v>
      </c>
      <c r="S102" s="58">
        <f t="shared" si="115"/>
        <v>0.41589999999999999</v>
      </c>
      <c r="T102" s="58">
        <f t="shared" si="115"/>
        <v>0.31950000000000001</v>
      </c>
      <c r="U102" s="58">
        <f t="shared" si="115"/>
        <v>0</v>
      </c>
      <c r="V102" s="59">
        <f t="shared" si="115"/>
        <v>0.73740000000000006</v>
      </c>
      <c r="W102" s="59">
        <f t="shared" si="115"/>
        <v>0.53259999999999996</v>
      </c>
      <c r="X102" s="59">
        <f t="shared" si="115"/>
        <v>0.98019999999999996</v>
      </c>
      <c r="Y102" s="59">
        <f t="shared" si="115"/>
        <v>0</v>
      </c>
      <c r="Z102" s="59">
        <f t="shared" si="115"/>
        <v>1</v>
      </c>
      <c r="AA102" s="59">
        <f t="shared" si="115"/>
        <v>1</v>
      </c>
      <c r="AB102" s="59">
        <f t="shared" si="115"/>
        <v>1</v>
      </c>
      <c r="AC102" s="58">
        <f t="shared" si="115"/>
        <v>0</v>
      </c>
      <c r="AD102" s="58">
        <f t="shared" si="115"/>
        <v>0</v>
      </c>
      <c r="AE102" s="58">
        <f t="shared" si="115"/>
        <v>0.1925</v>
      </c>
      <c r="AF102" s="58">
        <f t="shared" si="115"/>
        <v>0.72409999999999997</v>
      </c>
      <c r="AG102" s="58">
        <f t="shared" si="115"/>
        <v>6.3E-3</v>
      </c>
      <c r="AH102" s="58">
        <f t="shared" si="115"/>
        <v>0.64410000000000001</v>
      </c>
      <c r="AI102" s="58">
        <f t="shared" si="115"/>
        <v>0.69740000000000002</v>
      </c>
      <c r="AJ102" s="59">
        <f t="shared" si="115"/>
        <v>0.91080000000000005</v>
      </c>
      <c r="AK102" s="59">
        <f t="shared" si="115"/>
        <v>0.72740000000000005</v>
      </c>
      <c r="AL102" s="59">
        <f t="shared" si="115"/>
        <v>0.75190000000000001</v>
      </c>
      <c r="AM102" s="59">
        <f t="shared" si="115"/>
        <v>0.25669999999999998</v>
      </c>
      <c r="AN102" s="59">
        <f t="shared" si="115"/>
        <v>1</v>
      </c>
      <c r="AO102" s="59">
        <f t="shared" si="115"/>
        <v>0.41499999999999998</v>
      </c>
      <c r="AP102" s="59">
        <f t="shared" si="115"/>
        <v>0.78900000000000003</v>
      </c>
      <c r="AQ102" s="58">
        <f t="shared" si="115"/>
        <v>0.69230000000000003</v>
      </c>
      <c r="AR102" s="58">
        <f t="shared" si="115"/>
        <v>0.22170000000000001</v>
      </c>
      <c r="AS102" s="58">
        <f t="shared" si="115"/>
        <v>0.60680000000000001</v>
      </c>
      <c r="AT102" s="58">
        <f t="shared" si="115"/>
        <v>0.25669999999999998</v>
      </c>
      <c r="AU102" s="58">
        <f t="shared" si="115"/>
        <v>0.41560000000000002</v>
      </c>
      <c r="AV102" s="58">
        <f t="shared" si="115"/>
        <v>0.5827</v>
      </c>
      <c r="AW102" s="58">
        <f t="shared" si="115"/>
        <v>0.18229999999999999</v>
      </c>
      <c r="AX102" s="59">
        <f t="shared" si="115"/>
        <v>0</v>
      </c>
      <c r="AY102" s="59">
        <f t="shared" si="115"/>
        <v>0</v>
      </c>
      <c r="AZ102" s="59">
        <f t="shared" si="115"/>
        <v>0</v>
      </c>
      <c r="BA102" s="59">
        <f t="shared" si="115"/>
        <v>0</v>
      </c>
      <c r="BB102" s="59">
        <f t="shared" si="115"/>
        <v>0</v>
      </c>
      <c r="BC102" s="59">
        <f t="shared" si="115"/>
        <v>0</v>
      </c>
      <c r="BD102" s="59">
        <f t="shared" si="115"/>
        <v>0</v>
      </c>
    </row>
    <row r="103" spans="1:56" x14ac:dyDescent="0.25">
      <c r="A103" s="58">
        <f t="shared" si="116"/>
        <v>0</v>
      </c>
      <c r="B103" s="58">
        <f t="shared" si="115"/>
        <v>0</v>
      </c>
      <c r="C103" s="58">
        <f t="shared" si="115"/>
        <v>0</v>
      </c>
      <c r="D103" s="58">
        <f t="shared" si="115"/>
        <v>0</v>
      </c>
      <c r="E103" s="58">
        <f t="shared" si="115"/>
        <v>0</v>
      </c>
      <c r="F103" s="58">
        <f t="shared" si="115"/>
        <v>0</v>
      </c>
      <c r="G103" s="58">
        <f t="shared" si="115"/>
        <v>0</v>
      </c>
      <c r="H103" s="59">
        <f t="shared" si="115"/>
        <v>0</v>
      </c>
      <c r="I103" s="59">
        <f t="shared" si="115"/>
        <v>0</v>
      </c>
      <c r="J103" s="59">
        <f t="shared" si="115"/>
        <v>8.3900000000000002E-2</v>
      </c>
      <c r="K103" s="59">
        <f t="shared" si="115"/>
        <v>0</v>
      </c>
      <c r="L103" s="59">
        <f t="shared" si="115"/>
        <v>0</v>
      </c>
      <c r="M103" s="59">
        <f t="shared" si="115"/>
        <v>0</v>
      </c>
      <c r="N103" s="59">
        <f t="shared" si="115"/>
        <v>0.36969999999999997</v>
      </c>
      <c r="O103" s="58">
        <f t="shared" si="115"/>
        <v>0</v>
      </c>
      <c r="P103" s="58">
        <f t="shared" si="115"/>
        <v>0.48430000000000001</v>
      </c>
      <c r="Q103" s="58">
        <f t="shared" si="115"/>
        <v>0.39939999999999998</v>
      </c>
      <c r="R103" s="58">
        <f t="shared" si="115"/>
        <v>0.57809999999999995</v>
      </c>
      <c r="S103" s="58">
        <f t="shared" si="115"/>
        <v>0.497</v>
      </c>
      <c r="T103" s="58">
        <f t="shared" si="115"/>
        <v>0.40060000000000001</v>
      </c>
      <c r="U103" s="58">
        <f t="shared" si="115"/>
        <v>0</v>
      </c>
      <c r="V103" s="59">
        <f t="shared" si="115"/>
        <v>0</v>
      </c>
      <c r="W103" s="59">
        <f t="shared" si="115"/>
        <v>0</v>
      </c>
      <c r="X103" s="59">
        <f t="shared" si="115"/>
        <v>0</v>
      </c>
      <c r="Y103" s="59">
        <f t="shared" si="115"/>
        <v>0</v>
      </c>
      <c r="Z103" s="59">
        <f t="shared" si="115"/>
        <v>0</v>
      </c>
      <c r="AA103" s="59">
        <f t="shared" si="115"/>
        <v>0</v>
      </c>
      <c r="AB103" s="59">
        <f t="shared" si="115"/>
        <v>0</v>
      </c>
      <c r="AC103" s="58">
        <f t="shared" si="115"/>
        <v>0.53059999999999996</v>
      </c>
      <c r="AD103" s="58">
        <f t="shared" si="115"/>
        <v>0.70809999999999995</v>
      </c>
      <c r="AE103" s="58">
        <f t="shared" si="115"/>
        <v>0.91020000000000001</v>
      </c>
      <c r="AF103" s="58">
        <f t="shared" si="115"/>
        <v>1</v>
      </c>
      <c r="AG103" s="58">
        <f t="shared" si="115"/>
        <v>0.72409999999999997</v>
      </c>
      <c r="AH103" s="58">
        <f t="shared" si="115"/>
        <v>1</v>
      </c>
      <c r="AI103" s="58">
        <f t="shared" si="115"/>
        <v>1</v>
      </c>
      <c r="AJ103" s="59">
        <f t="shared" si="115"/>
        <v>0.10630000000000001</v>
      </c>
      <c r="AK103" s="59">
        <f t="shared" si="115"/>
        <v>0</v>
      </c>
      <c r="AL103" s="59">
        <f t="shared" si="115"/>
        <v>0</v>
      </c>
      <c r="AM103" s="59">
        <f t="shared" si="115"/>
        <v>0</v>
      </c>
      <c r="AN103" s="59">
        <f t="shared" si="115"/>
        <v>0.25669999999999998</v>
      </c>
      <c r="AO103" s="59">
        <f t="shared" si="115"/>
        <v>0</v>
      </c>
      <c r="AP103" s="59">
        <f t="shared" si="115"/>
        <v>0</v>
      </c>
      <c r="AQ103" s="58">
        <f t="shared" si="115"/>
        <v>0.53339999999999999</v>
      </c>
      <c r="AR103" s="58">
        <f t="shared" si="115"/>
        <v>6.2799999999999995E-2</v>
      </c>
      <c r="AS103" s="58">
        <f t="shared" si="115"/>
        <v>0.44790000000000002</v>
      </c>
      <c r="AT103" s="58">
        <f t="shared" si="115"/>
        <v>9.7799999999999998E-2</v>
      </c>
      <c r="AU103" s="58">
        <f t="shared" si="115"/>
        <v>0.25669999999999998</v>
      </c>
      <c r="AV103" s="58">
        <f t="shared" si="115"/>
        <v>0.42380000000000001</v>
      </c>
      <c r="AW103" s="58">
        <f t="shared" si="115"/>
        <v>2.3400000000000001E-2</v>
      </c>
      <c r="AX103" s="59">
        <f t="shared" si="115"/>
        <v>0</v>
      </c>
      <c r="AY103" s="59">
        <f t="shared" si="115"/>
        <v>0</v>
      </c>
      <c r="AZ103" s="59">
        <f t="shared" ref="B103:BD105" si="117">ROUND(AZ89,4)</f>
        <v>0</v>
      </c>
      <c r="BA103" s="59">
        <f t="shared" si="117"/>
        <v>0</v>
      </c>
      <c r="BB103" s="59">
        <f t="shared" si="117"/>
        <v>0</v>
      </c>
      <c r="BC103" s="59">
        <f t="shared" si="117"/>
        <v>0</v>
      </c>
      <c r="BD103" s="59">
        <f t="shared" si="117"/>
        <v>0</v>
      </c>
    </row>
    <row r="104" spans="1:56" x14ac:dyDescent="0.25">
      <c r="A104" s="58">
        <f t="shared" si="116"/>
        <v>0</v>
      </c>
      <c r="B104" s="58">
        <f t="shared" si="117"/>
        <v>0</v>
      </c>
      <c r="C104" s="58">
        <f t="shared" si="117"/>
        <v>0</v>
      </c>
      <c r="D104" s="58">
        <f t="shared" si="117"/>
        <v>0</v>
      </c>
      <c r="E104" s="58">
        <f t="shared" si="117"/>
        <v>0.71819999999999995</v>
      </c>
      <c r="F104" s="58">
        <f t="shared" si="117"/>
        <v>0</v>
      </c>
      <c r="G104" s="58">
        <f t="shared" si="117"/>
        <v>1</v>
      </c>
      <c r="H104" s="59">
        <f t="shared" si="117"/>
        <v>0</v>
      </c>
      <c r="I104" s="59">
        <f t="shared" si="117"/>
        <v>0</v>
      </c>
      <c r="J104" s="59">
        <f t="shared" si="117"/>
        <v>0.42149999999999999</v>
      </c>
      <c r="K104" s="59">
        <f t="shared" si="117"/>
        <v>0</v>
      </c>
      <c r="L104" s="59">
        <f t="shared" si="117"/>
        <v>3.6400000000000002E-2</v>
      </c>
      <c r="M104" s="59">
        <f t="shared" si="117"/>
        <v>0</v>
      </c>
      <c r="N104" s="59">
        <f t="shared" si="117"/>
        <v>0.70740000000000003</v>
      </c>
      <c r="O104" s="58">
        <f t="shared" si="117"/>
        <v>0</v>
      </c>
      <c r="P104" s="58">
        <f t="shared" si="117"/>
        <v>0.58069999999999999</v>
      </c>
      <c r="Q104" s="58">
        <f t="shared" si="117"/>
        <v>0.49580000000000002</v>
      </c>
      <c r="R104" s="58">
        <f t="shared" si="117"/>
        <v>0.67449999999999999</v>
      </c>
      <c r="S104" s="58">
        <f t="shared" si="117"/>
        <v>0.59340000000000004</v>
      </c>
      <c r="T104" s="58">
        <f t="shared" si="117"/>
        <v>0.497</v>
      </c>
      <c r="U104" s="58">
        <f t="shared" si="117"/>
        <v>0</v>
      </c>
      <c r="V104" s="59">
        <f t="shared" si="117"/>
        <v>0</v>
      </c>
      <c r="W104" s="59">
        <f t="shared" si="117"/>
        <v>0</v>
      </c>
      <c r="X104" s="59">
        <f t="shared" si="117"/>
        <v>0</v>
      </c>
      <c r="Y104" s="59">
        <f t="shared" si="117"/>
        <v>0</v>
      </c>
      <c r="Z104" s="59">
        <f t="shared" si="117"/>
        <v>0</v>
      </c>
      <c r="AA104" s="59">
        <f t="shared" si="117"/>
        <v>0</v>
      </c>
      <c r="AB104" s="59">
        <f t="shared" si="117"/>
        <v>0</v>
      </c>
      <c r="AC104" s="58">
        <f t="shared" si="117"/>
        <v>0</v>
      </c>
      <c r="AD104" s="58">
        <f t="shared" si="117"/>
        <v>7.0400000000000004E-2</v>
      </c>
      <c r="AE104" s="58">
        <f t="shared" si="117"/>
        <v>0.27250000000000002</v>
      </c>
      <c r="AF104" s="58">
        <f t="shared" si="117"/>
        <v>0.80410000000000004</v>
      </c>
      <c r="AG104" s="58">
        <f t="shared" si="117"/>
        <v>8.6300000000000002E-2</v>
      </c>
      <c r="AH104" s="58">
        <f t="shared" si="117"/>
        <v>0.72409999999999997</v>
      </c>
      <c r="AI104" s="58">
        <f t="shared" si="117"/>
        <v>0.77739999999999998</v>
      </c>
      <c r="AJ104" s="59">
        <f t="shared" si="117"/>
        <v>0.75249999999999995</v>
      </c>
      <c r="AK104" s="59">
        <f t="shared" si="117"/>
        <v>0.56910000000000005</v>
      </c>
      <c r="AL104" s="59">
        <f t="shared" si="117"/>
        <v>0.59360000000000002</v>
      </c>
      <c r="AM104" s="59">
        <f t="shared" si="117"/>
        <v>9.8400000000000001E-2</v>
      </c>
      <c r="AN104" s="59">
        <f t="shared" si="117"/>
        <v>0.90290000000000004</v>
      </c>
      <c r="AO104" s="59">
        <f t="shared" si="117"/>
        <v>0.25669999999999998</v>
      </c>
      <c r="AP104" s="59">
        <f t="shared" si="117"/>
        <v>0.63070000000000004</v>
      </c>
      <c r="AQ104" s="58">
        <f t="shared" si="117"/>
        <v>0.36630000000000001</v>
      </c>
      <c r="AR104" s="58">
        <f t="shared" si="117"/>
        <v>0</v>
      </c>
      <c r="AS104" s="58">
        <f t="shared" si="117"/>
        <v>0.28079999999999999</v>
      </c>
      <c r="AT104" s="58">
        <f t="shared" si="117"/>
        <v>0</v>
      </c>
      <c r="AU104" s="58">
        <f t="shared" si="117"/>
        <v>8.9700000000000002E-2</v>
      </c>
      <c r="AV104" s="58">
        <f t="shared" si="117"/>
        <v>0.25669999999999998</v>
      </c>
      <c r="AW104" s="58">
        <f t="shared" si="117"/>
        <v>0</v>
      </c>
      <c r="AX104" s="59">
        <f t="shared" si="117"/>
        <v>0.17100000000000001</v>
      </c>
      <c r="AY104" s="59">
        <f t="shared" si="117"/>
        <v>0.19209999999999999</v>
      </c>
      <c r="AZ104" s="59">
        <f t="shared" si="117"/>
        <v>0.15379999999999999</v>
      </c>
      <c r="BA104" s="59">
        <f t="shared" si="117"/>
        <v>0.26910000000000001</v>
      </c>
      <c r="BB104" s="59">
        <f t="shared" si="117"/>
        <v>4.2700000000000002E-2</v>
      </c>
      <c r="BC104" s="59">
        <f t="shared" si="117"/>
        <v>0</v>
      </c>
      <c r="BD104" s="59">
        <f t="shared" si="117"/>
        <v>0.19819999999999999</v>
      </c>
    </row>
    <row r="105" spans="1:56" x14ac:dyDescent="0.25">
      <c r="A105" s="58">
        <f t="shared" si="116"/>
        <v>0</v>
      </c>
      <c r="B105" s="58">
        <f t="shared" si="117"/>
        <v>0</v>
      </c>
      <c r="C105" s="58">
        <f t="shared" si="117"/>
        <v>0</v>
      </c>
      <c r="D105" s="58">
        <f t="shared" si="117"/>
        <v>0</v>
      </c>
      <c r="E105" s="58">
        <f t="shared" si="117"/>
        <v>0</v>
      </c>
      <c r="F105" s="58">
        <f t="shared" si="117"/>
        <v>0</v>
      </c>
      <c r="G105" s="58">
        <f t="shared" si="117"/>
        <v>0</v>
      </c>
      <c r="H105" s="59">
        <f t="shared" si="117"/>
        <v>0</v>
      </c>
      <c r="I105" s="59">
        <f t="shared" si="117"/>
        <v>0</v>
      </c>
      <c r="J105" s="59">
        <f t="shared" si="117"/>
        <v>0</v>
      </c>
      <c r="K105" s="59">
        <f t="shared" si="117"/>
        <v>0</v>
      </c>
      <c r="L105" s="59">
        <f t="shared" si="117"/>
        <v>0</v>
      </c>
      <c r="M105" s="59">
        <f t="shared" si="117"/>
        <v>0</v>
      </c>
      <c r="N105" s="59">
        <f t="shared" si="117"/>
        <v>0</v>
      </c>
      <c r="O105" s="58">
        <f t="shared" si="117"/>
        <v>0.43480000000000002</v>
      </c>
      <c r="P105" s="58">
        <f t="shared" si="117"/>
        <v>1</v>
      </c>
      <c r="Q105" s="58">
        <f t="shared" si="117"/>
        <v>1</v>
      </c>
      <c r="R105" s="58">
        <f t="shared" si="117"/>
        <v>1</v>
      </c>
      <c r="S105" s="58">
        <f t="shared" si="117"/>
        <v>1</v>
      </c>
      <c r="T105" s="58">
        <f t="shared" si="117"/>
        <v>1</v>
      </c>
      <c r="U105" s="58">
        <f t="shared" si="117"/>
        <v>0.497</v>
      </c>
      <c r="V105" s="59">
        <f t="shared" si="117"/>
        <v>0</v>
      </c>
      <c r="W105" s="59">
        <f t="shared" si="117"/>
        <v>0</v>
      </c>
      <c r="X105" s="59">
        <f t="shared" si="117"/>
        <v>0</v>
      </c>
      <c r="Y105" s="59">
        <f t="shared" si="117"/>
        <v>0</v>
      </c>
      <c r="Z105" s="59">
        <f t="shared" si="117"/>
        <v>0</v>
      </c>
      <c r="AA105" s="59">
        <f t="shared" si="117"/>
        <v>0</v>
      </c>
      <c r="AB105" s="59">
        <f t="shared" si="117"/>
        <v>0</v>
      </c>
      <c r="AC105" s="58">
        <f t="shared" si="117"/>
        <v>0</v>
      </c>
      <c r="AD105" s="58">
        <f t="shared" si="117"/>
        <v>1.7100000000000001E-2</v>
      </c>
      <c r="AE105" s="58">
        <f t="shared" si="117"/>
        <v>0.21920000000000001</v>
      </c>
      <c r="AF105" s="58">
        <f t="shared" si="117"/>
        <v>0.75090000000000001</v>
      </c>
      <c r="AG105" s="58">
        <f t="shared" si="117"/>
        <v>3.3099999999999997E-2</v>
      </c>
      <c r="AH105" s="58">
        <f t="shared" si="117"/>
        <v>0.67090000000000005</v>
      </c>
      <c r="AI105" s="58">
        <f t="shared" si="117"/>
        <v>0.72409999999999997</v>
      </c>
      <c r="AJ105" s="59">
        <f t="shared" si="117"/>
        <v>0.3785</v>
      </c>
      <c r="AK105" s="59">
        <f t="shared" si="117"/>
        <v>0.1951</v>
      </c>
      <c r="AL105" s="59">
        <f t="shared" si="117"/>
        <v>0.21959999999999999</v>
      </c>
      <c r="AM105" s="59">
        <f t="shared" si="117"/>
        <v>0</v>
      </c>
      <c r="AN105" s="59">
        <f t="shared" si="117"/>
        <v>0.52900000000000003</v>
      </c>
      <c r="AO105" s="59">
        <f t="shared" si="117"/>
        <v>0</v>
      </c>
      <c r="AP105" s="59">
        <f t="shared" si="117"/>
        <v>0.25669999999999998</v>
      </c>
      <c r="AQ105" s="58">
        <f t="shared" si="117"/>
        <v>0.76670000000000005</v>
      </c>
      <c r="AR105" s="58">
        <f t="shared" si="117"/>
        <v>0.29609999999999997</v>
      </c>
      <c r="AS105" s="58">
        <f t="shared" si="117"/>
        <v>0.68120000000000003</v>
      </c>
      <c r="AT105" s="58">
        <f t="shared" si="117"/>
        <v>0.33110000000000001</v>
      </c>
      <c r="AU105" s="58">
        <f t="shared" si="117"/>
        <v>0.49</v>
      </c>
      <c r="AV105" s="58">
        <f t="shared" si="117"/>
        <v>0.65710000000000002</v>
      </c>
      <c r="AW105" s="58">
        <f t="shared" si="117"/>
        <v>0.25669999999999998</v>
      </c>
      <c r="AX105" s="59">
        <f t="shared" si="117"/>
        <v>0</v>
      </c>
      <c r="AY105" s="59">
        <f t="shared" si="117"/>
        <v>0</v>
      </c>
      <c r="AZ105" s="59">
        <f t="shared" si="117"/>
        <v>0</v>
      </c>
      <c r="BA105" s="59">
        <f t="shared" si="117"/>
        <v>0</v>
      </c>
      <c r="BB105" s="59">
        <f t="shared" si="117"/>
        <v>0</v>
      </c>
      <c r="BC105" s="59">
        <f t="shared" si="117"/>
        <v>0</v>
      </c>
      <c r="BD105" s="59">
        <f t="shared" si="117"/>
        <v>0</v>
      </c>
    </row>
    <row r="109" spans="1:56" x14ac:dyDescent="0.25">
      <c r="A109" s="89" t="s">
        <v>172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</row>
    <row r="110" spans="1:56" x14ac:dyDescent="0.25">
      <c r="A110" s="11">
        <v>1</v>
      </c>
      <c r="B110" s="11">
        <v>2</v>
      </c>
      <c r="C110" s="11">
        <v>3</v>
      </c>
      <c r="D110" s="11">
        <v>4</v>
      </c>
      <c r="E110" s="11">
        <v>5</v>
      </c>
      <c r="F110" s="11">
        <v>6</v>
      </c>
      <c r="G110" s="11">
        <v>7</v>
      </c>
      <c r="H110" s="11">
        <v>1</v>
      </c>
      <c r="I110" s="11">
        <v>2</v>
      </c>
      <c r="J110" s="11">
        <v>3</v>
      </c>
      <c r="K110" s="11">
        <v>4</v>
      </c>
      <c r="L110" s="11">
        <v>5</v>
      </c>
      <c r="M110" s="11">
        <v>6</v>
      </c>
      <c r="N110" s="11">
        <v>7</v>
      </c>
      <c r="O110" s="11">
        <v>1</v>
      </c>
      <c r="P110" s="11">
        <v>2</v>
      </c>
      <c r="Q110" s="11">
        <v>3</v>
      </c>
      <c r="R110" s="11">
        <v>4</v>
      </c>
      <c r="S110" s="11">
        <v>5</v>
      </c>
      <c r="T110" s="11">
        <v>6</v>
      </c>
      <c r="U110" s="11">
        <v>7</v>
      </c>
      <c r="V110" s="11">
        <v>1</v>
      </c>
      <c r="W110" s="11">
        <v>2</v>
      </c>
      <c r="X110" s="11">
        <v>3</v>
      </c>
      <c r="Y110" s="11">
        <v>4</v>
      </c>
      <c r="Z110" s="11">
        <v>5</v>
      </c>
      <c r="AA110" s="11">
        <v>6</v>
      </c>
      <c r="AB110" s="11">
        <v>7</v>
      </c>
      <c r="AC110" s="11">
        <v>1</v>
      </c>
      <c r="AD110" s="11">
        <v>2</v>
      </c>
      <c r="AE110" s="11">
        <v>3</v>
      </c>
      <c r="AF110" s="11">
        <v>4</v>
      </c>
      <c r="AG110" s="11">
        <v>5</v>
      </c>
      <c r="AH110" s="11">
        <v>6</v>
      </c>
      <c r="AI110" s="11">
        <v>7</v>
      </c>
      <c r="AJ110" s="11">
        <v>1</v>
      </c>
      <c r="AK110" s="11">
        <v>2</v>
      </c>
      <c r="AL110" s="11">
        <v>3</v>
      </c>
      <c r="AM110" s="11">
        <v>4</v>
      </c>
      <c r="AN110" s="11">
        <v>5</v>
      </c>
      <c r="AO110" s="11">
        <v>6</v>
      </c>
      <c r="AP110" s="11">
        <v>7</v>
      </c>
      <c r="AQ110" s="11">
        <v>1</v>
      </c>
      <c r="AR110" s="11">
        <v>2</v>
      </c>
      <c r="AS110" s="11">
        <v>3</v>
      </c>
      <c r="AT110" s="11">
        <v>4</v>
      </c>
      <c r="AU110" s="11">
        <v>5</v>
      </c>
      <c r="AV110" s="11">
        <v>6</v>
      </c>
      <c r="AW110" s="11">
        <v>7</v>
      </c>
      <c r="AX110" s="11">
        <v>1</v>
      </c>
      <c r="AY110" s="11">
        <v>2</v>
      </c>
      <c r="AZ110" s="11">
        <v>3</v>
      </c>
      <c r="BA110" s="11">
        <v>4</v>
      </c>
      <c r="BB110" s="11">
        <v>5</v>
      </c>
      <c r="BC110" s="11">
        <v>6</v>
      </c>
      <c r="BD110" s="11">
        <v>7</v>
      </c>
    </row>
    <row r="111" spans="1:56" x14ac:dyDescent="0.25">
      <c r="A111" s="113" t="s">
        <v>150</v>
      </c>
      <c r="B111" s="113"/>
      <c r="C111" s="113"/>
      <c r="D111" s="113"/>
      <c r="E111" s="113"/>
      <c r="F111" s="113"/>
      <c r="G111" s="113"/>
      <c r="H111" s="115" t="s">
        <v>151</v>
      </c>
      <c r="I111" s="115"/>
      <c r="J111" s="115"/>
      <c r="K111" s="115"/>
      <c r="L111" s="115"/>
      <c r="M111" s="115"/>
      <c r="N111" s="115"/>
      <c r="O111" s="116" t="s">
        <v>152</v>
      </c>
      <c r="P111" s="117"/>
      <c r="Q111" s="117"/>
      <c r="R111" s="117"/>
      <c r="S111" s="117"/>
      <c r="T111" s="117"/>
      <c r="U111" s="118"/>
      <c r="V111" s="115" t="s">
        <v>153</v>
      </c>
      <c r="W111" s="115"/>
      <c r="X111" s="115"/>
      <c r="Y111" s="115"/>
      <c r="Z111" s="115"/>
      <c r="AA111" s="115"/>
      <c r="AB111" s="115"/>
      <c r="AC111" s="116" t="s">
        <v>154</v>
      </c>
      <c r="AD111" s="117"/>
      <c r="AE111" s="117"/>
      <c r="AF111" s="117"/>
      <c r="AG111" s="117"/>
      <c r="AH111" s="117"/>
      <c r="AI111" s="118"/>
      <c r="AJ111" s="119" t="s">
        <v>156</v>
      </c>
      <c r="AK111" s="120"/>
      <c r="AL111" s="120"/>
      <c r="AM111" s="120"/>
      <c r="AN111" s="120"/>
      <c r="AO111" s="120"/>
      <c r="AP111" s="121"/>
      <c r="AQ111" s="116" t="s">
        <v>155</v>
      </c>
      <c r="AR111" s="117"/>
      <c r="AS111" s="117"/>
      <c r="AT111" s="117"/>
      <c r="AU111" s="117"/>
      <c r="AV111" s="117"/>
      <c r="AW111" s="118"/>
      <c r="AX111" s="119" t="s">
        <v>157</v>
      </c>
      <c r="AY111" s="120"/>
      <c r="AZ111" s="120"/>
      <c r="BA111" s="120"/>
      <c r="BB111" s="120"/>
      <c r="BC111" s="120"/>
      <c r="BD111" s="121"/>
    </row>
    <row r="112" spans="1:56" x14ac:dyDescent="0.25">
      <c r="A112" s="58">
        <v>0</v>
      </c>
      <c r="B112" s="58">
        <v>0</v>
      </c>
      <c r="C112" s="58">
        <v>0</v>
      </c>
      <c r="D112" s="58">
        <v>0</v>
      </c>
      <c r="E112" s="58">
        <v>0</v>
      </c>
      <c r="F112" s="58">
        <v>0</v>
      </c>
      <c r="G112" s="58">
        <v>0</v>
      </c>
      <c r="H112" s="59">
        <v>0</v>
      </c>
      <c r="I112" s="59">
        <v>0</v>
      </c>
      <c r="J112" s="59">
        <v>0.1726</v>
      </c>
      <c r="K112" s="59">
        <v>0</v>
      </c>
      <c r="L112" s="59">
        <v>0</v>
      </c>
      <c r="M112" s="59">
        <v>0</v>
      </c>
      <c r="N112" s="59">
        <v>0.45850000000000002</v>
      </c>
      <c r="O112" s="58">
        <v>0.497</v>
      </c>
      <c r="P112" s="58">
        <v>1</v>
      </c>
      <c r="Q112" s="58">
        <v>1</v>
      </c>
      <c r="R112" s="58">
        <v>1</v>
      </c>
      <c r="S112" s="58">
        <v>1</v>
      </c>
      <c r="T112" s="58">
        <v>1</v>
      </c>
      <c r="U112" s="58">
        <v>0.55920000000000003</v>
      </c>
      <c r="V112" s="59">
        <v>0</v>
      </c>
      <c r="W112" s="59">
        <v>0</v>
      </c>
      <c r="X112" s="59">
        <v>0</v>
      </c>
      <c r="Y112" s="59">
        <v>0</v>
      </c>
      <c r="Z112" s="59">
        <v>0.24879999999999999</v>
      </c>
      <c r="AA112" s="59">
        <v>0</v>
      </c>
      <c r="AB112" s="59">
        <v>0.1157</v>
      </c>
      <c r="AC112" s="58">
        <v>0.72409999999999997</v>
      </c>
      <c r="AD112" s="58">
        <v>0.90159999999999996</v>
      </c>
      <c r="AE112" s="58">
        <v>1</v>
      </c>
      <c r="AF112" s="58">
        <v>1</v>
      </c>
      <c r="AG112" s="58">
        <v>0.91759999999999997</v>
      </c>
      <c r="AH112" s="58">
        <v>1</v>
      </c>
      <c r="AI112" s="58">
        <v>1</v>
      </c>
      <c r="AJ112" s="59">
        <v>0.25669999999999998</v>
      </c>
      <c r="AK112" s="59">
        <v>7.3300000000000004E-2</v>
      </c>
      <c r="AL112" s="59">
        <v>9.7799999999999998E-2</v>
      </c>
      <c r="AM112" s="59">
        <v>0</v>
      </c>
      <c r="AN112" s="59">
        <v>0.40720000000000001</v>
      </c>
      <c r="AO112" s="59">
        <v>0</v>
      </c>
      <c r="AP112" s="59">
        <v>0.13489999999999999</v>
      </c>
      <c r="AQ112" s="58">
        <v>0.25669999999999998</v>
      </c>
      <c r="AR112" s="58">
        <v>0</v>
      </c>
      <c r="AS112" s="58">
        <v>0.17119999999999999</v>
      </c>
      <c r="AT112" s="58">
        <v>0</v>
      </c>
      <c r="AU112" s="58">
        <v>0</v>
      </c>
      <c r="AV112" s="58">
        <v>0.14710000000000001</v>
      </c>
      <c r="AW112" s="58">
        <v>0</v>
      </c>
      <c r="AX112" s="59">
        <v>0</v>
      </c>
      <c r="AY112" s="59">
        <v>0</v>
      </c>
      <c r="AZ112" s="59">
        <v>0</v>
      </c>
      <c r="BA112" s="59">
        <v>0</v>
      </c>
      <c r="BB112" s="59">
        <v>0</v>
      </c>
      <c r="BC112" s="59">
        <v>0</v>
      </c>
      <c r="BD112" s="59">
        <v>0</v>
      </c>
    </row>
    <row r="113" spans="1:56" x14ac:dyDescent="0.25">
      <c r="A113" s="58">
        <v>0</v>
      </c>
      <c r="B113" s="58">
        <v>0</v>
      </c>
      <c r="C113" s="58">
        <v>0</v>
      </c>
      <c r="D113" s="58">
        <v>0</v>
      </c>
      <c r="E113" s="58">
        <v>0</v>
      </c>
      <c r="F113" s="58">
        <v>0</v>
      </c>
      <c r="G113" s="58">
        <v>0</v>
      </c>
      <c r="H113" s="59">
        <v>0</v>
      </c>
      <c r="I113" s="59">
        <v>0</v>
      </c>
      <c r="J113" s="59">
        <v>0.2056</v>
      </c>
      <c r="K113" s="59">
        <v>0</v>
      </c>
      <c r="L113" s="59">
        <v>0</v>
      </c>
      <c r="M113" s="59">
        <v>0</v>
      </c>
      <c r="N113" s="59">
        <v>0.4914</v>
      </c>
      <c r="O113" s="58">
        <v>0</v>
      </c>
      <c r="P113" s="58">
        <v>0.497</v>
      </c>
      <c r="Q113" s="58">
        <v>0.41220000000000001</v>
      </c>
      <c r="R113" s="58">
        <v>0.59079999999999999</v>
      </c>
      <c r="S113" s="58">
        <v>0.50970000000000004</v>
      </c>
      <c r="T113" s="58">
        <v>0.4133</v>
      </c>
      <c r="U113" s="58">
        <v>0</v>
      </c>
      <c r="V113" s="59">
        <v>0</v>
      </c>
      <c r="W113" s="59">
        <v>0</v>
      </c>
      <c r="X113" s="59">
        <v>0.1333</v>
      </c>
      <c r="Y113" s="59">
        <v>0</v>
      </c>
      <c r="Z113" s="59">
        <v>0.4536</v>
      </c>
      <c r="AA113" s="59">
        <v>0.1694</v>
      </c>
      <c r="AB113" s="59">
        <v>0.32050000000000001</v>
      </c>
      <c r="AC113" s="58">
        <v>0.54659999999999997</v>
      </c>
      <c r="AD113" s="58">
        <v>0.72409999999999997</v>
      </c>
      <c r="AE113" s="58">
        <v>0.92620000000000002</v>
      </c>
      <c r="AF113" s="58">
        <v>1</v>
      </c>
      <c r="AG113" s="58">
        <v>0.74009999999999998</v>
      </c>
      <c r="AH113" s="58">
        <v>1</v>
      </c>
      <c r="AI113" s="58">
        <v>1</v>
      </c>
      <c r="AJ113" s="59">
        <v>0.44009999999999999</v>
      </c>
      <c r="AK113" s="59">
        <v>0.25669999999999998</v>
      </c>
      <c r="AL113" s="59">
        <v>0.28120000000000001</v>
      </c>
      <c r="AM113" s="59">
        <v>0</v>
      </c>
      <c r="AN113" s="59">
        <v>0.59060000000000001</v>
      </c>
      <c r="AO113" s="59">
        <v>0</v>
      </c>
      <c r="AP113" s="59">
        <v>0.31830000000000003</v>
      </c>
      <c r="AQ113" s="58">
        <v>0.72729999999999995</v>
      </c>
      <c r="AR113" s="58">
        <v>0.25669999999999998</v>
      </c>
      <c r="AS113" s="58">
        <v>0.64180000000000004</v>
      </c>
      <c r="AT113" s="58">
        <v>0.29170000000000001</v>
      </c>
      <c r="AU113" s="58">
        <v>0.4506</v>
      </c>
      <c r="AV113" s="58">
        <v>0.61770000000000003</v>
      </c>
      <c r="AW113" s="58">
        <v>0.21729999999999999</v>
      </c>
      <c r="AX113" s="59">
        <v>0</v>
      </c>
      <c r="AY113" s="59">
        <v>0</v>
      </c>
      <c r="AZ113" s="59">
        <v>0</v>
      </c>
      <c r="BA113" s="59">
        <v>0</v>
      </c>
      <c r="BB113" s="59">
        <v>0</v>
      </c>
      <c r="BC113" s="59">
        <v>0</v>
      </c>
      <c r="BD113" s="59">
        <v>0</v>
      </c>
    </row>
    <row r="114" spans="1:56" x14ac:dyDescent="0.25">
      <c r="A114" s="58">
        <v>0</v>
      </c>
      <c r="B114" s="58">
        <v>0</v>
      </c>
      <c r="C114" s="58">
        <v>0</v>
      </c>
      <c r="D114" s="58">
        <v>0</v>
      </c>
      <c r="E114" s="58">
        <v>0</v>
      </c>
      <c r="F114" s="58">
        <v>0</v>
      </c>
      <c r="G114" s="58">
        <v>0</v>
      </c>
      <c r="H114" s="59">
        <v>0</v>
      </c>
      <c r="I114" s="59">
        <v>0</v>
      </c>
      <c r="J114" s="59">
        <v>0</v>
      </c>
      <c r="K114" s="59">
        <v>0</v>
      </c>
      <c r="L114" s="59">
        <v>0</v>
      </c>
      <c r="M114" s="59">
        <v>0</v>
      </c>
      <c r="N114" s="59">
        <v>0</v>
      </c>
      <c r="O114" s="58">
        <v>0</v>
      </c>
      <c r="P114" s="58">
        <v>0.58179999999999998</v>
      </c>
      <c r="Q114" s="58">
        <v>0.497</v>
      </c>
      <c r="R114" s="58">
        <v>0.67569999999999997</v>
      </c>
      <c r="S114" s="58">
        <v>0.59450000000000003</v>
      </c>
      <c r="T114" s="58">
        <v>0.49819999999999998</v>
      </c>
      <c r="U114" s="58">
        <v>0</v>
      </c>
      <c r="V114" s="59">
        <v>0</v>
      </c>
      <c r="W114" s="59">
        <v>0</v>
      </c>
      <c r="X114" s="59">
        <v>0</v>
      </c>
      <c r="Y114" s="59">
        <v>0</v>
      </c>
      <c r="Z114" s="59">
        <v>6.1000000000000004E-3</v>
      </c>
      <c r="AA114" s="59">
        <v>0</v>
      </c>
      <c r="AB114" s="59">
        <v>0</v>
      </c>
      <c r="AC114" s="58">
        <v>0.34449999999999997</v>
      </c>
      <c r="AD114" s="58">
        <v>0.52200000000000002</v>
      </c>
      <c r="AE114" s="58">
        <v>0.72409999999999997</v>
      </c>
      <c r="AF114" s="58">
        <v>1</v>
      </c>
      <c r="AG114" s="58">
        <v>0.53800000000000003</v>
      </c>
      <c r="AH114" s="58">
        <v>1</v>
      </c>
      <c r="AI114" s="58">
        <v>1</v>
      </c>
      <c r="AJ114" s="59">
        <v>0.41560000000000002</v>
      </c>
      <c r="AK114" s="59">
        <v>0.23219999999999999</v>
      </c>
      <c r="AL114" s="59">
        <v>0.25669999999999998</v>
      </c>
      <c r="AM114" s="59">
        <v>0</v>
      </c>
      <c r="AN114" s="59">
        <v>0.56610000000000005</v>
      </c>
      <c r="AO114" s="59">
        <v>0</v>
      </c>
      <c r="AP114" s="59">
        <v>0.29389999999999999</v>
      </c>
      <c r="AQ114" s="58">
        <v>0.3422</v>
      </c>
      <c r="AR114" s="58">
        <v>0</v>
      </c>
      <c r="AS114" s="58">
        <v>0.25669999999999998</v>
      </c>
      <c r="AT114" s="58">
        <v>0</v>
      </c>
      <c r="AU114" s="58">
        <v>6.5600000000000006E-2</v>
      </c>
      <c r="AV114" s="58">
        <v>0.2326</v>
      </c>
      <c r="AW114" s="58">
        <v>0</v>
      </c>
      <c r="AX114" s="59">
        <v>0</v>
      </c>
      <c r="AY114" s="59">
        <v>0</v>
      </c>
      <c r="AZ114" s="59">
        <v>0</v>
      </c>
      <c r="BA114" s="59">
        <v>0</v>
      </c>
      <c r="BB114" s="59">
        <v>0</v>
      </c>
      <c r="BC114" s="59">
        <v>0</v>
      </c>
      <c r="BD114" s="59">
        <v>0</v>
      </c>
    </row>
    <row r="115" spans="1:56" x14ac:dyDescent="0.25">
      <c r="A115" s="58">
        <v>0.22869999999999999</v>
      </c>
      <c r="B115" s="58">
        <v>0.66469999999999996</v>
      </c>
      <c r="C115" s="58">
        <v>0.52790000000000004</v>
      </c>
      <c r="D115" s="58">
        <v>0</v>
      </c>
      <c r="E115" s="58">
        <v>1</v>
      </c>
      <c r="F115" s="58">
        <v>0</v>
      </c>
      <c r="G115" s="58">
        <v>1</v>
      </c>
      <c r="H115" s="59">
        <v>0.58579999999999999</v>
      </c>
      <c r="I115" s="59">
        <v>0.55289999999999995</v>
      </c>
      <c r="J115" s="59">
        <v>1</v>
      </c>
      <c r="K115" s="59">
        <v>0</v>
      </c>
      <c r="L115" s="59">
        <v>0.67459999999999998</v>
      </c>
      <c r="M115" s="59">
        <v>0.33689999999999998</v>
      </c>
      <c r="N115" s="59">
        <v>1</v>
      </c>
      <c r="O115" s="58">
        <v>0</v>
      </c>
      <c r="P115" s="58">
        <v>0.40310000000000001</v>
      </c>
      <c r="Q115" s="58">
        <v>0.31830000000000003</v>
      </c>
      <c r="R115" s="58">
        <v>0.497</v>
      </c>
      <c r="S115" s="58">
        <v>0.41589999999999999</v>
      </c>
      <c r="T115" s="58">
        <v>0.31950000000000001</v>
      </c>
      <c r="U115" s="58">
        <v>0</v>
      </c>
      <c r="V115" s="59">
        <v>0.73740000000000006</v>
      </c>
      <c r="W115" s="59">
        <v>0.53259999999999996</v>
      </c>
      <c r="X115" s="59">
        <v>0.98019999999999996</v>
      </c>
      <c r="Y115" s="59">
        <v>0</v>
      </c>
      <c r="Z115" s="59">
        <v>1</v>
      </c>
      <c r="AA115" s="59">
        <v>1</v>
      </c>
      <c r="AB115" s="59">
        <v>1</v>
      </c>
      <c r="AC115" s="58">
        <v>0</v>
      </c>
      <c r="AD115" s="58">
        <v>0</v>
      </c>
      <c r="AE115" s="58">
        <v>0.1925</v>
      </c>
      <c r="AF115" s="58">
        <v>0.72409999999999997</v>
      </c>
      <c r="AG115" s="58">
        <v>6.3E-3</v>
      </c>
      <c r="AH115" s="58">
        <v>0.64410000000000001</v>
      </c>
      <c r="AI115" s="58">
        <v>0.69740000000000002</v>
      </c>
      <c r="AJ115" s="59">
        <v>0.91080000000000005</v>
      </c>
      <c r="AK115" s="59">
        <v>0.72740000000000005</v>
      </c>
      <c r="AL115" s="59">
        <v>0.75190000000000001</v>
      </c>
      <c r="AM115" s="59">
        <v>0.25669999999999998</v>
      </c>
      <c r="AN115" s="59">
        <v>1</v>
      </c>
      <c r="AO115" s="59">
        <v>0.41499999999999998</v>
      </c>
      <c r="AP115" s="59">
        <v>0.78900000000000003</v>
      </c>
      <c r="AQ115" s="58">
        <v>0.69230000000000003</v>
      </c>
      <c r="AR115" s="58">
        <v>0.22170000000000001</v>
      </c>
      <c r="AS115" s="58">
        <v>0.60680000000000001</v>
      </c>
      <c r="AT115" s="58">
        <v>0.25669999999999998</v>
      </c>
      <c r="AU115" s="58">
        <v>0.41560000000000002</v>
      </c>
      <c r="AV115" s="58">
        <v>0.5827</v>
      </c>
      <c r="AW115" s="58">
        <v>0.18229999999999999</v>
      </c>
      <c r="AX115" s="59">
        <v>0</v>
      </c>
      <c r="AY115" s="59">
        <v>0</v>
      </c>
      <c r="AZ115" s="59">
        <v>0</v>
      </c>
      <c r="BA115" s="59">
        <v>0</v>
      </c>
      <c r="BB115" s="59">
        <v>0</v>
      </c>
      <c r="BC115" s="59">
        <v>0</v>
      </c>
      <c r="BD115" s="59">
        <v>0</v>
      </c>
    </row>
    <row r="116" spans="1:56" x14ac:dyDescent="0.25">
      <c r="A116" s="58">
        <v>0</v>
      </c>
      <c r="B116" s="58">
        <v>0</v>
      </c>
      <c r="C116" s="58">
        <v>0</v>
      </c>
      <c r="D116" s="58">
        <v>0</v>
      </c>
      <c r="E116" s="58">
        <v>0</v>
      </c>
      <c r="F116" s="58">
        <v>0</v>
      </c>
      <c r="G116" s="58">
        <v>0</v>
      </c>
      <c r="H116" s="59">
        <v>0</v>
      </c>
      <c r="I116" s="59">
        <v>0</v>
      </c>
      <c r="J116" s="59">
        <v>8.3900000000000002E-2</v>
      </c>
      <c r="K116" s="59">
        <v>0</v>
      </c>
      <c r="L116" s="59">
        <v>0</v>
      </c>
      <c r="M116" s="59">
        <v>0</v>
      </c>
      <c r="N116" s="59">
        <v>0.36969999999999997</v>
      </c>
      <c r="O116" s="58">
        <v>0</v>
      </c>
      <c r="P116" s="58">
        <v>0.48430000000000001</v>
      </c>
      <c r="Q116" s="58">
        <v>0.39939999999999998</v>
      </c>
      <c r="R116" s="58">
        <v>0.57809999999999995</v>
      </c>
      <c r="S116" s="58">
        <v>0.497</v>
      </c>
      <c r="T116" s="58">
        <v>0.40060000000000001</v>
      </c>
      <c r="U116" s="58">
        <v>0</v>
      </c>
      <c r="V116" s="59">
        <v>0</v>
      </c>
      <c r="W116" s="59">
        <v>0</v>
      </c>
      <c r="X116" s="59">
        <v>0</v>
      </c>
      <c r="Y116" s="59">
        <v>0</v>
      </c>
      <c r="Z116" s="59">
        <v>0</v>
      </c>
      <c r="AA116" s="59">
        <v>0</v>
      </c>
      <c r="AB116" s="59">
        <v>0</v>
      </c>
      <c r="AC116" s="58">
        <v>0.53059999999999996</v>
      </c>
      <c r="AD116" s="58">
        <v>0.70809999999999995</v>
      </c>
      <c r="AE116" s="58">
        <v>0.91020000000000001</v>
      </c>
      <c r="AF116" s="58">
        <v>1</v>
      </c>
      <c r="AG116" s="58">
        <v>0.72409999999999997</v>
      </c>
      <c r="AH116" s="58">
        <v>1</v>
      </c>
      <c r="AI116" s="58">
        <v>1</v>
      </c>
      <c r="AJ116" s="59">
        <v>0.10630000000000001</v>
      </c>
      <c r="AK116" s="59">
        <v>0</v>
      </c>
      <c r="AL116" s="59">
        <v>0</v>
      </c>
      <c r="AM116" s="59">
        <v>0</v>
      </c>
      <c r="AN116" s="59">
        <v>0.25669999999999998</v>
      </c>
      <c r="AO116" s="59">
        <v>0</v>
      </c>
      <c r="AP116" s="59">
        <v>0</v>
      </c>
      <c r="AQ116" s="58">
        <v>0.53339999999999999</v>
      </c>
      <c r="AR116" s="58">
        <v>6.2799999999999995E-2</v>
      </c>
      <c r="AS116" s="58">
        <v>0.44790000000000002</v>
      </c>
      <c r="AT116" s="58">
        <v>9.7799999999999998E-2</v>
      </c>
      <c r="AU116" s="58">
        <v>0.25669999999999998</v>
      </c>
      <c r="AV116" s="58">
        <v>0.42380000000000001</v>
      </c>
      <c r="AW116" s="58">
        <v>2.3400000000000001E-2</v>
      </c>
      <c r="AX116" s="59">
        <v>0</v>
      </c>
      <c r="AY116" s="59">
        <v>0</v>
      </c>
      <c r="AZ116" s="59">
        <v>0</v>
      </c>
      <c r="BA116" s="59">
        <v>0</v>
      </c>
      <c r="BB116" s="59">
        <v>0</v>
      </c>
      <c r="BC116" s="59">
        <v>0</v>
      </c>
      <c r="BD116" s="59">
        <v>0</v>
      </c>
    </row>
    <row r="117" spans="1:56" x14ac:dyDescent="0.25">
      <c r="A117" s="58">
        <v>0</v>
      </c>
      <c r="B117" s="58">
        <v>0</v>
      </c>
      <c r="C117" s="58">
        <v>0</v>
      </c>
      <c r="D117" s="58">
        <v>0</v>
      </c>
      <c r="E117" s="58">
        <v>0.71819999999999995</v>
      </c>
      <c r="F117" s="58">
        <v>0</v>
      </c>
      <c r="G117" s="58">
        <v>1</v>
      </c>
      <c r="H117" s="59">
        <v>0</v>
      </c>
      <c r="I117" s="59">
        <v>0</v>
      </c>
      <c r="J117" s="59">
        <v>0.42149999999999999</v>
      </c>
      <c r="K117" s="59">
        <v>0</v>
      </c>
      <c r="L117" s="59">
        <v>3.6400000000000002E-2</v>
      </c>
      <c r="M117" s="59">
        <v>0</v>
      </c>
      <c r="N117" s="59">
        <v>0.70740000000000003</v>
      </c>
      <c r="O117" s="58">
        <v>0</v>
      </c>
      <c r="P117" s="58">
        <v>0.58069999999999999</v>
      </c>
      <c r="Q117" s="58">
        <v>0.49580000000000002</v>
      </c>
      <c r="R117" s="58">
        <v>0.67449999999999999</v>
      </c>
      <c r="S117" s="58">
        <v>0.59340000000000004</v>
      </c>
      <c r="T117" s="58">
        <v>0.497</v>
      </c>
      <c r="U117" s="58">
        <v>0</v>
      </c>
      <c r="V117" s="59">
        <v>0</v>
      </c>
      <c r="W117" s="59">
        <v>0</v>
      </c>
      <c r="X117" s="59">
        <v>0</v>
      </c>
      <c r="Y117" s="59">
        <v>0</v>
      </c>
      <c r="Z117" s="59">
        <v>0</v>
      </c>
      <c r="AA117" s="59">
        <v>0</v>
      </c>
      <c r="AB117" s="59">
        <v>0</v>
      </c>
      <c r="AC117" s="58">
        <v>0</v>
      </c>
      <c r="AD117" s="58">
        <v>7.0400000000000004E-2</v>
      </c>
      <c r="AE117" s="58">
        <v>0.27250000000000002</v>
      </c>
      <c r="AF117" s="58">
        <v>0.80410000000000004</v>
      </c>
      <c r="AG117" s="58">
        <v>8.6300000000000002E-2</v>
      </c>
      <c r="AH117" s="58">
        <v>0.72409999999999997</v>
      </c>
      <c r="AI117" s="58">
        <v>0.77739999999999998</v>
      </c>
      <c r="AJ117" s="59">
        <v>0.75249999999999995</v>
      </c>
      <c r="AK117" s="59">
        <v>0.56910000000000005</v>
      </c>
      <c r="AL117" s="59">
        <v>0.59360000000000002</v>
      </c>
      <c r="AM117" s="59">
        <v>9.8400000000000001E-2</v>
      </c>
      <c r="AN117" s="59">
        <v>0.90290000000000004</v>
      </c>
      <c r="AO117" s="59">
        <v>0.25669999999999998</v>
      </c>
      <c r="AP117" s="59">
        <v>0.63070000000000004</v>
      </c>
      <c r="AQ117" s="58">
        <v>0.36630000000000001</v>
      </c>
      <c r="AR117" s="58">
        <v>0</v>
      </c>
      <c r="AS117" s="58">
        <v>0.28079999999999999</v>
      </c>
      <c r="AT117" s="58">
        <v>0</v>
      </c>
      <c r="AU117" s="58">
        <v>8.9700000000000002E-2</v>
      </c>
      <c r="AV117" s="58">
        <v>0.25669999999999998</v>
      </c>
      <c r="AW117" s="58">
        <v>0</v>
      </c>
      <c r="AX117" s="59">
        <v>0.17100000000000001</v>
      </c>
      <c r="AY117" s="59">
        <v>0.19209999999999999</v>
      </c>
      <c r="AZ117" s="59">
        <v>0.15379999999999999</v>
      </c>
      <c r="BA117" s="59">
        <v>0.26910000000000001</v>
      </c>
      <c r="BB117" s="59">
        <v>4.2700000000000002E-2</v>
      </c>
      <c r="BC117" s="59">
        <v>0</v>
      </c>
      <c r="BD117" s="59">
        <v>0.19819999999999999</v>
      </c>
    </row>
    <row r="118" spans="1:56" x14ac:dyDescent="0.25">
      <c r="A118" s="58">
        <v>0</v>
      </c>
      <c r="B118" s="58">
        <v>0</v>
      </c>
      <c r="C118" s="58">
        <v>0</v>
      </c>
      <c r="D118" s="58">
        <v>0</v>
      </c>
      <c r="E118" s="58">
        <v>0</v>
      </c>
      <c r="F118" s="58">
        <v>0</v>
      </c>
      <c r="G118" s="58">
        <v>0</v>
      </c>
      <c r="H118" s="59">
        <v>0</v>
      </c>
      <c r="I118" s="59">
        <v>0</v>
      </c>
      <c r="J118" s="59">
        <v>0</v>
      </c>
      <c r="K118" s="59">
        <v>0</v>
      </c>
      <c r="L118" s="59">
        <v>0</v>
      </c>
      <c r="M118" s="59">
        <v>0</v>
      </c>
      <c r="N118" s="59">
        <v>0</v>
      </c>
      <c r="O118" s="58">
        <v>0.43480000000000002</v>
      </c>
      <c r="P118" s="58">
        <v>1</v>
      </c>
      <c r="Q118" s="58">
        <v>1</v>
      </c>
      <c r="R118" s="58">
        <v>1</v>
      </c>
      <c r="S118" s="58">
        <v>1</v>
      </c>
      <c r="T118" s="58">
        <v>1</v>
      </c>
      <c r="U118" s="58">
        <v>0.497</v>
      </c>
      <c r="V118" s="59">
        <v>0</v>
      </c>
      <c r="W118" s="59">
        <v>0</v>
      </c>
      <c r="X118" s="59">
        <v>0</v>
      </c>
      <c r="Y118" s="59">
        <v>0</v>
      </c>
      <c r="Z118" s="59">
        <v>0</v>
      </c>
      <c r="AA118" s="59">
        <v>0</v>
      </c>
      <c r="AB118" s="59">
        <v>0</v>
      </c>
      <c r="AC118" s="58">
        <v>0</v>
      </c>
      <c r="AD118" s="58">
        <v>1.7100000000000001E-2</v>
      </c>
      <c r="AE118" s="58">
        <v>0.21920000000000001</v>
      </c>
      <c r="AF118" s="58">
        <v>0.75090000000000001</v>
      </c>
      <c r="AG118" s="58">
        <v>3.3099999999999997E-2</v>
      </c>
      <c r="AH118" s="58">
        <v>0.67090000000000005</v>
      </c>
      <c r="AI118" s="58">
        <v>0.72409999999999997</v>
      </c>
      <c r="AJ118" s="59">
        <v>0.3785</v>
      </c>
      <c r="AK118" s="59">
        <v>0.1951</v>
      </c>
      <c r="AL118" s="59">
        <v>0.21959999999999999</v>
      </c>
      <c r="AM118" s="59">
        <v>0</v>
      </c>
      <c r="AN118" s="59">
        <v>0.52900000000000003</v>
      </c>
      <c r="AO118" s="59">
        <v>0</v>
      </c>
      <c r="AP118" s="59">
        <v>0.25669999999999998</v>
      </c>
      <c r="AQ118" s="58">
        <v>0.76670000000000005</v>
      </c>
      <c r="AR118" s="58">
        <v>0.29609999999999997</v>
      </c>
      <c r="AS118" s="58">
        <v>0.68120000000000003</v>
      </c>
      <c r="AT118" s="58">
        <v>0.33110000000000001</v>
      </c>
      <c r="AU118" s="58">
        <v>0.49</v>
      </c>
      <c r="AV118" s="58">
        <v>0.65710000000000002</v>
      </c>
      <c r="AW118" s="58">
        <v>0.25669999999999998</v>
      </c>
      <c r="AX118" s="59">
        <v>0</v>
      </c>
      <c r="AY118" s="59">
        <v>0</v>
      </c>
      <c r="AZ118" s="59">
        <v>0</v>
      </c>
      <c r="BA118" s="59">
        <v>0</v>
      </c>
      <c r="BB118" s="59">
        <v>0</v>
      </c>
      <c r="BC118" s="59">
        <v>0</v>
      </c>
      <c r="BD118" s="59">
        <v>0</v>
      </c>
    </row>
    <row r="122" spans="1:56" x14ac:dyDescent="0.25">
      <c r="A122" t="s">
        <v>177</v>
      </c>
      <c r="B122" t="s">
        <v>178</v>
      </c>
      <c r="C122" t="s">
        <v>179</v>
      </c>
      <c r="D122" t="s">
        <v>180</v>
      </c>
      <c r="E122" t="s">
        <v>181</v>
      </c>
      <c r="F122" t="s">
        <v>182</v>
      </c>
      <c r="G122" t="s">
        <v>183</v>
      </c>
      <c r="H122" t="s">
        <v>184</v>
      </c>
    </row>
    <row r="123" spans="1:56" x14ac:dyDescent="0.25">
      <c r="A123">
        <v>0.13750000000000001</v>
      </c>
      <c r="B123">
        <v>0.1449</v>
      </c>
      <c r="C123">
        <v>0.1187</v>
      </c>
      <c r="D123">
        <v>0.1338</v>
      </c>
      <c r="E123">
        <v>0.1283</v>
      </c>
      <c r="F123">
        <v>0.1028</v>
      </c>
      <c r="G123">
        <v>0.13469999999999999</v>
      </c>
      <c r="H123">
        <v>9.9199999999999997E-2</v>
      </c>
    </row>
    <row r="124" spans="1:56" x14ac:dyDescent="0.25">
      <c r="A124" s="89" t="s">
        <v>185</v>
      </c>
      <c r="B124" s="89"/>
      <c r="C124" s="89"/>
      <c r="D124" s="89"/>
      <c r="E124" s="89"/>
      <c r="F124" s="89"/>
      <c r="G124" s="89"/>
    </row>
    <row r="126" spans="1:56" x14ac:dyDescent="0.25">
      <c r="A126" s="113" t="s">
        <v>173</v>
      </c>
      <c r="B126" s="113"/>
      <c r="C126" s="113"/>
      <c r="D126" s="113"/>
      <c r="E126" s="113"/>
      <c r="F126" s="113"/>
      <c r="G126" s="113"/>
    </row>
    <row r="127" spans="1:56" x14ac:dyDescent="0.25">
      <c r="A127" s="58">
        <f>$A$123*A112+$B$123*H112+$C$123*O112+$D$123*V112+$E$123*AC112+$F$123*AJ112+$G$123*AQ112+$H$123*AX112</f>
        <v>0.21286218000000001</v>
      </c>
      <c r="B127" s="58">
        <f t="shared" ref="B127:G127" si="118">$A$123*B112+$B$123*I112+$C$123*P112+$D$123*W112+$E$123*AD112+$F$123*AK112+$G$123*AR112+$H$123*AY112</f>
        <v>0.24191051999999999</v>
      </c>
      <c r="C127" s="58">
        <f t="shared" si="118"/>
        <v>0.30512422</v>
      </c>
      <c r="D127" s="58">
        <f t="shared" si="118"/>
        <v>0.247</v>
      </c>
      <c r="E127" s="58">
        <f t="shared" si="118"/>
        <v>0.31157767999999997</v>
      </c>
      <c r="F127" s="58">
        <f t="shared" si="118"/>
        <v>0.26681436999999997</v>
      </c>
      <c r="G127" s="58">
        <f t="shared" si="118"/>
        <v>0.29046207000000002</v>
      </c>
    </row>
    <row r="128" spans="1:56" x14ac:dyDescent="0.25">
      <c r="A128" s="58">
        <f t="shared" ref="A128:A133" si="119">$A$123*A113+$B$123*H113+$C$123*O113+$D$123*V113+$E$123*AC113+$F$123*AJ113+$G$123*AQ113+$H$123*AX113</f>
        <v>0.21333837</v>
      </c>
      <c r="B128" s="58">
        <f t="shared" ref="B128:B133" si="120">$A$123*B113+$B$123*I113+$C$123*P113+$D$123*W113+$E$123*AD113+$F$123*AK113+$G$123*AR113+$H$123*AY113</f>
        <v>0.21286218000000001</v>
      </c>
      <c r="C128" s="58">
        <f t="shared" ref="C128:C133" si="121">$A$123*C113+$B$123*J113+$C$123*Q113+$D$123*X113+$E$123*AE113+$F$123*AL113+$G$123*AS113+$H$123*AZ113</f>
        <v>0.33074439999999999</v>
      </c>
      <c r="D128" s="58">
        <f t="shared" ref="D128:D133" si="122">$A$123*D113+$B$123*K113+$C$123*R113+$D$123*Y113+$E$123*AF113+$F$123*AM113+$G$123*AT113+$H$123*BA113</f>
        <v>0.23771995000000001</v>
      </c>
      <c r="E128" s="58">
        <f t="shared" ref="E128:E133" si="123">$A$123*E113+$B$123*L113+$C$123*S113+$D$123*Z113+$E$123*AG113+$F$123*AN113+$G$123*AU113+$H$123*BB113</f>
        <v>0.33755740000000001</v>
      </c>
      <c r="F128" s="58">
        <f t="shared" ref="F128:F133" si="124">$A$123*F113+$B$123*M113+$C$123*T113+$D$123*AA113+$E$123*AH113+$F$123*AO113+$G$123*AV113+$H$123*BC113</f>
        <v>0.28322861999999999</v>
      </c>
      <c r="G128" s="58">
        <f t="shared" ref="G128:G133" si="125">$A$123*G113+$B$123*N113+$C$123*U113+$D$123*AB113+$E$123*AI113+$F$123*AP113+$G$123*AW113+$H$123*BD113</f>
        <v>0.30437831000000004</v>
      </c>
    </row>
    <row r="129" spans="1:12" x14ac:dyDescent="0.25">
      <c r="A129" s="58">
        <f t="shared" si="119"/>
        <v>0.13301737000000002</v>
      </c>
      <c r="B129" s="58">
        <f t="shared" si="120"/>
        <v>0.15990242000000002</v>
      </c>
      <c r="C129" s="58">
        <f t="shared" si="121"/>
        <v>0.21286218000000001</v>
      </c>
      <c r="D129" s="58">
        <f t="shared" si="122"/>
        <v>0.20850558999999999</v>
      </c>
      <c r="E129" s="58">
        <f t="shared" si="123"/>
        <v>0.20744013000000003</v>
      </c>
      <c r="F129" s="58">
        <f t="shared" si="124"/>
        <v>0.21876755999999997</v>
      </c>
      <c r="G129" s="58">
        <f t="shared" si="125"/>
        <v>0.15851292</v>
      </c>
    </row>
    <row r="130" spans="1:12" x14ac:dyDescent="0.25">
      <c r="A130" s="58">
        <f t="shared" si="119"/>
        <v>0.40187583999999998</v>
      </c>
      <c r="B130" s="58">
        <f t="shared" si="120"/>
        <v>0.39526102000000002</v>
      </c>
      <c r="C130" s="58">
        <f t="shared" si="121"/>
        <v>0.57014824999999991</v>
      </c>
      <c r="D130" s="58">
        <f t="shared" si="122"/>
        <v>0.21286218000000001</v>
      </c>
      <c r="E130" s="58">
        <f t="shared" si="123"/>
        <v>0.5780064800000001</v>
      </c>
      <c r="F130" s="58">
        <f t="shared" si="124"/>
        <v>0.42433117999999997</v>
      </c>
      <c r="G130" s="58">
        <f t="shared" si="125"/>
        <v>0.61134142999999996</v>
      </c>
    </row>
    <row r="131" spans="1:12" x14ac:dyDescent="0.25">
      <c r="A131" s="58">
        <f t="shared" si="119"/>
        <v>0.1508526</v>
      </c>
      <c r="B131" s="58">
        <f t="shared" si="120"/>
        <v>0.15679479999999998</v>
      </c>
      <c r="C131" s="58">
        <f t="shared" si="121"/>
        <v>0.23667667999999997</v>
      </c>
      <c r="D131" s="58">
        <f t="shared" si="122"/>
        <v>0.21009412999999999</v>
      </c>
      <c r="E131" s="58">
        <f t="shared" si="123"/>
        <v>0.21286218000000001</v>
      </c>
      <c r="F131" s="58">
        <f t="shared" si="124"/>
        <v>0.23293707999999999</v>
      </c>
      <c r="G131" s="58">
        <f t="shared" si="125"/>
        <v>0.18502151</v>
      </c>
    </row>
    <row r="132" spans="1:12" x14ac:dyDescent="0.25">
      <c r="A132" s="58">
        <f t="shared" si="119"/>
        <v>0.14366081</v>
      </c>
      <c r="B132" s="58">
        <f t="shared" si="120"/>
        <v>0.15552120999999999</v>
      </c>
      <c r="C132" s="58">
        <f t="shared" si="121"/>
        <v>0.26899136000000001</v>
      </c>
      <c r="D132" s="58">
        <f t="shared" si="122"/>
        <v>0.22003941999999999</v>
      </c>
      <c r="E132" s="58">
        <f t="shared" si="123"/>
        <v>0.29467228000000001</v>
      </c>
      <c r="F132" s="58">
        <f t="shared" si="124"/>
        <v>0.21286218000000001</v>
      </c>
      <c r="G132" s="58">
        <f t="shared" si="125"/>
        <v>0.42424008000000002</v>
      </c>
    </row>
    <row r="133" spans="1:12" x14ac:dyDescent="0.25">
      <c r="A133" s="58">
        <f t="shared" si="119"/>
        <v>0.19379505</v>
      </c>
      <c r="B133" s="58">
        <f t="shared" si="120"/>
        <v>0.18083487999999998</v>
      </c>
      <c r="C133" s="58">
        <f t="shared" si="121"/>
        <v>0.26115588000000001</v>
      </c>
      <c r="D133" s="58">
        <f t="shared" si="122"/>
        <v>0.25963963999999995</v>
      </c>
      <c r="E133" s="58">
        <f t="shared" si="123"/>
        <v>0.24333093</v>
      </c>
      <c r="F133" s="58">
        <f t="shared" si="124"/>
        <v>0.29328783999999997</v>
      </c>
      <c r="G133" s="58">
        <f t="shared" si="125"/>
        <v>0.21286218000000001</v>
      </c>
    </row>
    <row r="136" spans="1:12" x14ac:dyDescent="0.25">
      <c r="A136" s="89" t="s">
        <v>186</v>
      </c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</row>
    <row r="137" spans="1:12" x14ac:dyDescent="0.25">
      <c r="A137" s="113" t="s">
        <v>173</v>
      </c>
      <c r="B137" s="113"/>
      <c r="C137" s="113"/>
      <c r="D137" s="113"/>
      <c r="E137" s="113"/>
      <c r="F137" s="113"/>
      <c r="G137" s="113"/>
    </row>
    <row r="138" spans="1:12" x14ac:dyDescent="0.25">
      <c r="A138" s="58">
        <v>0.21286218000000001</v>
      </c>
      <c r="B138" s="58">
        <v>0.24191051999999999</v>
      </c>
      <c r="C138" s="58">
        <v>0.30512422</v>
      </c>
      <c r="D138" s="58">
        <v>0.247</v>
      </c>
      <c r="E138" s="58">
        <v>0.31157767999999997</v>
      </c>
      <c r="F138" s="58">
        <v>0.26681436999999997</v>
      </c>
      <c r="G138" s="58">
        <v>0.29046207000000002</v>
      </c>
    </row>
    <row r="139" spans="1:12" x14ac:dyDescent="0.25">
      <c r="A139" s="58">
        <v>0.21333837</v>
      </c>
      <c r="B139" s="58">
        <v>0.21286218000000001</v>
      </c>
      <c r="C139" s="58">
        <v>0.33074439999999999</v>
      </c>
      <c r="D139" s="58">
        <v>0.23771995000000001</v>
      </c>
      <c r="E139" s="58">
        <v>0.33755740000000001</v>
      </c>
      <c r="F139" s="58">
        <v>0.28322861999999999</v>
      </c>
      <c r="G139" s="58">
        <v>0.30437831000000004</v>
      </c>
    </row>
    <row r="140" spans="1:12" x14ac:dyDescent="0.25">
      <c r="A140" s="58">
        <v>0.13301737000000002</v>
      </c>
      <c r="B140" s="58">
        <v>0.15990242000000002</v>
      </c>
      <c r="C140" s="58">
        <v>0.21286218000000001</v>
      </c>
      <c r="D140" s="58">
        <v>0.20850558999999999</v>
      </c>
      <c r="E140" s="58">
        <v>0.20744013000000003</v>
      </c>
      <c r="F140" s="58">
        <v>0.21876755999999997</v>
      </c>
      <c r="G140" s="58">
        <v>0.15851292</v>
      </c>
    </row>
    <row r="141" spans="1:12" x14ac:dyDescent="0.25">
      <c r="A141" s="58">
        <v>0.40187583999999998</v>
      </c>
      <c r="B141" s="58">
        <v>0.39526102000000002</v>
      </c>
      <c r="C141" s="58">
        <v>0.57014824999999991</v>
      </c>
      <c r="D141" s="58">
        <v>0.21286218000000001</v>
      </c>
      <c r="E141" s="58">
        <v>0.5780064800000001</v>
      </c>
      <c r="F141" s="58">
        <v>0.42433117999999997</v>
      </c>
      <c r="G141" s="58">
        <v>0.61134142999999996</v>
      </c>
    </row>
    <row r="142" spans="1:12" x14ac:dyDescent="0.25">
      <c r="A142" s="58">
        <v>0.1508526</v>
      </c>
      <c r="B142" s="58">
        <v>0.15679479999999998</v>
      </c>
      <c r="C142" s="58">
        <v>0.23667667999999997</v>
      </c>
      <c r="D142" s="58">
        <v>0.21009412999999999</v>
      </c>
      <c r="E142" s="58">
        <v>0.21286218000000001</v>
      </c>
      <c r="F142" s="58">
        <v>0.23293707999999999</v>
      </c>
      <c r="G142" s="58">
        <v>0.18502151</v>
      </c>
    </row>
    <row r="143" spans="1:12" x14ac:dyDescent="0.25">
      <c r="A143" s="58">
        <v>0.14366081</v>
      </c>
      <c r="B143" s="58">
        <v>0.15552120999999999</v>
      </c>
      <c r="C143" s="58">
        <v>0.26899136000000001</v>
      </c>
      <c r="D143" s="58">
        <v>0.22003941999999999</v>
      </c>
      <c r="E143" s="58">
        <v>0.29467228000000001</v>
      </c>
      <c r="F143" s="58">
        <v>0.21286218000000001</v>
      </c>
      <c r="G143" s="58">
        <v>0.42424008000000002</v>
      </c>
    </row>
    <row r="144" spans="1:12" x14ac:dyDescent="0.25">
      <c r="A144" s="58">
        <v>0.19379505</v>
      </c>
      <c r="B144" s="58">
        <v>0.18083487999999998</v>
      </c>
      <c r="C144" s="58">
        <v>0.26115588000000001</v>
      </c>
      <c r="D144" s="58">
        <v>0.25963963999999995</v>
      </c>
      <c r="E144" s="58">
        <v>0.24333093</v>
      </c>
      <c r="F144" s="58">
        <v>0.29328783999999997</v>
      </c>
      <c r="G144" s="58">
        <v>0.21286218000000001</v>
      </c>
    </row>
    <row r="147" spans="1:12" x14ac:dyDescent="0.25">
      <c r="A147" s="89" t="s">
        <v>187</v>
      </c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</row>
    <row r="148" spans="1:12" x14ac:dyDescent="0.25">
      <c r="A148" s="113" t="s">
        <v>173</v>
      </c>
      <c r="B148" s="113"/>
      <c r="C148" s="113"/>
      <c r="D148" s="113"/>
      <c r="E148" s="113"/>
      <c r="F148" s="113"/>
      <c r="G148" s="113"/>
    </row>
    <row r="149" spans="1:12" x14ac:dyDescent="0.25">
      <c r="A149" s="58">
        <f>ROUND(A138,4)</f>
        <v>0.21290000000000001</v>
      </c>
      <c r="B149" s="58">
        <f t="shared" ref="B149:G149" si="126">ROUND(B138,4)</f>
        <v>0.2419</v>
      </c>
      <c r="C149" s="58">
        <f t="shared" si="126"/>
        <v>0.30509999999999998</v>
      </c>
      <c r="D149" s="58">
        <f t="shared" si="126"/>
        <v>0.247</v>
      </c>
      <c r="E149" s="58">
        <f t="shared" si="126"/>
        <v>0.31159999999999999</v>
      </c>
      <c r="F149" s="58">
        <f t="shared" si="126"/>
        <v>0.26679999999999998</v>
      </c>
      <c r="G149" s="58">
        <f t="shared" si="126"/>
        <v>0.29049999999999998</v>
      </c>
    </row>
    <row r="150" spans="1:12" x14ac:dyDescent="0.25">
      <c r="A150" s="58">
        <f t="shared" ref="A150:G150" si="127">ROUND(A139,4)</f>
        <v>0.21329999999999999</v>
      </c>
      <c r="B150" s="58">
        <f t="shared" si="127"/>
        <v>0.21290000000000001</v>
      </c>
      <c r="C150" s="58">
        <f t="shared" si="127"/>
        <v>0.33069999999999999</v>
      </c>
      <c r="D150" s="58">
        <f t="shared" si="127"/>
        <v>0.23769999999999999</v>
      </c>
      <c r="E150" s="58">
        <f t="shared" si="127"/>
        <v>0.33760000000000001</v>
      </c>
      <c r="F150" s="58">
        <f t="shared" si="127"/>
        <v>0.28320000000000001</v>
      </c>
      <c r="G150" s="58">
        <f t="shared" si="127"/>
        <v>0.3044</v>
      </c>
    </row>
    <row r="151" spans="1:12" x14ac:dyDescent="0.25">
      <c r="A151" s="58">
        <f t="shared" ref="A151:G151" si="128">ROUND(A140,4)</f>
        <v>0.13300000000000001</v>
      </c>
      <c r="B151" s="58">
        <f t="shared" si="128"/>
        <v>0.15989999999999999</v>
      </c>
      <c r="C151" s="58">
        <f t="shared" si="128"/>
        <v>0.21290000000000001</v>
      </c>
      <c r="D151" s="58">
        <f t="shared" si="128"/>
        <v>0.20849999999999999</v>
      </c>
      <c r="E151" s="58">
        <f t="shared" si="128"/>
        <v>0.2074</v>
      </c>
      <c r="F151" s="58">
        <f t="shared" si="128"/>
        <v>0.21879999999999999</v>
      </c>
      <c r="G151" s="58">
        <f t="shared" si="128"/>
        <v>0.1585</v>
      </c>
    </row>
    <row r="152" spans="1:12" x14ac:dyDescent="0.25">
      <c r="A152" s="58">
        <f t="shared" ref="A152:G152" si="129">ROUND(A141,4)</f>
        <v>0.40189999999999998</v>
      </c>
      <c r="B152" s="58">
        <f t="shared" si="129"/>
        <v>0.39529999999999998</v>
      </c>
      <c r="C152" s="58">
        <f t="shared" si="129"/>
        <v>0.57010000000000005</v>
      </c>
      <c r="D152" s="58">
        <f t="shared" si="129"/>
        <v>0.21290000000000001</v>
      </c>
      <c r="E152" s="58">
        <f t="shared" si="129"/>
        <v>0.57799999999999996</v>
      </c>
      <c r="F152" s="58">
        <f t="shared" si="129"/>
        <v>0.42430000000000001</v>
      </c>
      <c r="G152" s="58">
        <f t="shared" si="129"/>
        <v>0.61129999999999995</v>
      </c>
    </row>
    <row r="153" spans="1:12" x14ac:dyDescent="0.25">
      <c r="A153" s="58">
        <f t="shared" ref="A153:G153" si="130">ROUND(A142,4)</f>
        <v>0.15090000000000001</v>
      </c>
      <c r="B153" s="58">
        <f t="shared" si="130"/>
        <v>0.15679999999999999</v>
      </c>
      <c r="C153" s="58">
        <f t="shared" si="130"/>
        <v>0.23669999999999999</v>
      </c>
      <c r="D153" s="58">
        <f t="shared" si="130"/>
        <v>0.21010000000000001</v>
      </c>
      <c r="E153" s="58">
        <f t="shared" si="130"/>
        <v>0.21290000000000001</v>
      </c>
      <c r="F153" s="58">
        <f t="shared" si="130"/>
        <v>0.2329</v>
      </c>
      <c r="G153" s="58">
        <f t="shared" si="130"/>
        <v>0.185</v>
      </c>
    </row>
    <row r="154" spans="1:12" x14ac:dyDescent="0.25">
      <c r="A154" s="58">
        <f t="shared" ref="A154:G154" si="131">ROUND(A143,4)</f>
        <v>0.14369999999999999</v>
      </c>
      <c r="B154" s="58">
        <f t="shared" si="131"/>
        <v>0.1555</v>
      </c>
      <c r="C154" s="58">
        <f t="shared" si="131"/>
        <v>0.26900000000000002</v>
      </c>
      <c r="D154" s="58">
        <f t="shared" si="131"/>
        <v>0.22</v>
      </c>
      <c r="E154" s="58">
        <f t="shared" si="131"/>
        <v>0.29470000000000002</v>
      </c>
      <c r="F154" s="58">
        <f t="shared" si="131"/>
        <v>0.21290000000000001</v>
      </c>
      <c r="G154" s="58">
        <f t="shared" si="131"/>
        <v>0.42420000000000002</v>
      </c>
    </row>
    <row r="155" spans="1:12" x14ac:dyDescent="0.25">
      <c r="A155" s="58">
        <f t="shared" ref="A155:G155" si="132">ROUND(A144,4)</f>
        <v>0.1938</v>
      </c>
      <c r="B155" s="58">
        <f t="shared" si="132"/>
        <v>0.18079999999999999</v>
      </c>
      <c r="C155" s="58">
        <f t="shared" si="132"/>
        <v>0.26119999999999999</v>
      </c>
      <c r="D155" s="58">
        <f t="shared" si="132"/>
        <v>0.2596</v>
      </c>
      <c r="E155" s="58">
        <f t="shared" si="132"/>
        <v>0.24329999999999999</v>
      </c>
      <c r="F155" s="58">
        <f t="shared" si="132"/>
        <v>0.29330000000000001</v>
      </c>
      <c r="G155" s="58">
        <f t="shared" si="132"/>
        <v>0.21290000000000001</v>
      </c>
    </row>
    <row r="159" spans="1:12" x14ac:dyDescent="0.25">
      <c r="A159" s="89" t="s">
        <v>188</v>
      </c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</row>
    <row r="160" spans="1:12" x14ac:dyDescent="0.25">
      <c r="A160" s="113" t="s">
        <v>173</v>
      </c>
      <c r="B160" s="113"/>
      <c r="C160" s="113"/>
      <c r="D160" s="113"/>
      <c r="E160" s="113"/>
      <c r="F160" s="113"/>
      <c r="G160" s="113"/>
    </row>
    <row r="161" spans="1:12" x14ac:dyDescent="0.25">
      <c r="A161" s="58">
        <v>0.21290000000000001</v>
      </c>
      <c r="B161" s="58">
        <v>0.2419</v>
      </c>
      <c r="C161" s="58">
        <v>0.30509999999999998</v>
      </c>
      <c r="D161" s="58">
        <v>0.247</v>
      </c>
      <c r="E161" s="58">
        <v>0.31159999999999999</v>
      </c>
      <c r="F161" s="58">
        <v>0.26679999999999998</v>
      </c>
      <c r="G161" s="58">
        <v>0.29049999999999998</v>
      </c>
    </row>
    <row r="162" spans="1:12" x14ac:dyDescent="0.25">
      <c r="A162" s="58">
        <v>0.21329999999999999</v>
      </c>
      <c r="B162" s="58">
        <v>0.21290000000000001</v>
      </c>
      <c r="C162" s="58">
        <v>0.33069999999999999</v>
      </c>
      <c r="D162" s="58">
        <v>0.23769999999999999</v>
      </c>
      <c r="E162" s="58">
        <v>0.33760000000000001</v>
      </c>
      <c r="F162" s="58">
        <v>0.28320000000000001</v>
      </c>
      <c r="G162" s="58">
        <v>0.3044</v>
      </c>
    </row>
    <row r="163" spans="1:12" x14ac:dyDescent="0.25">
      <c r="A163" s="58">
        <v>0.13300000000000001</v>
      </c>
      <c r="B163" s="58">
        <v>0.15989999999999999</v>
      </c>
      <c r="C163" s="58">
        <v>0.21290000000000001</v>
      </c>
      <c r="D163" s="58">
        <v>0.20849999999999999</v>
      </c>
      <c r="E163" s="58">
        <v>0.2074</v>
      </c>
      <c r="F163" s="58">
        <v>0.21879999999999999</v>
      </c>
      <c r="G163" s="58">
        <v>0.1585</v>
      </c>
    </row>
    <row r="164" spans="1:12" x14ac:dyDescent="0.25">
      <c r="A164" s="58">
        <v>0.40189999999999998</v>
      </c>
      <c r="B164" s="58">
        <v>0.39529999999999998</v>
      </c>
      <c r="C164" s="58">
        <v>0.57010000000000005</v>
      </c>
      <c r="D164" s="58">
        <v>0.21290000000000001</v>
      </c>
      <c r="E164" s="58">
        <v>0.57799999999999996</v>
      </c>
      <c r="F164" s="58">
        <v>0.42430000000000001</v>
      </c>
      <c r="G164" s="58">
        <v>0.61129999999999995</v>
      </c>
    </row>
    <row r="165" spans="1:12" x14ac:dyDescent="0.25">
      <c r="A165" s="58">
        <v>0.15090000000000001</v>
      </c>
      <c r="B165" s="58">
        <v>0.15679999999999999</v>
      </c>
      <c r="C165" s="58">
        <v>0.23669999999999999</v>
      </c>
      <c r="D165" s="58">
        <v>0.21010000000000001</v>
      </c>
      <c r="E165" s="58">
        <v>0.21290000000000001</v>
      </c>
      <c r="F165" s="58">
        <v>0.2329</v>
      </c>
      <c r="G165" s="58">
        <v>0.185</v>
      </c>
    </row>
    <row r="166" spans="1:12" x14ac:dyDescent="0.25">
      <c r="A166" s="58">
        <v>0.14369999999999999</v>
      </c>
      <c r="B166" s="58">
        <v>0.1555</v>
      </c>
      <c r="C166" s="58">
        <v>0.26900000000000002</v>
      </c>
      <c r="D166" s="58">
        <v>0.22</v>
      </c>
      <c r="E166" s="58">
        <v>0.29470000000000002</v>
      </c>
      <c r="F166" s="58">
        <v>0.21290000000000001</v>
      </c>
      <c r="G166" s="58">
        <v>0.42420000000000002</v>
      </c>
    </row>
    <row r="167" spans="1:12" x14ac:dyDescent="0.25">
      <c r="A167" s="58">
        <v>0.1938</v>
      </c>
      <c r="B167" s="58">
        <v>0.18079999999999999</v>
      </c>
      <c r="C167" s="58">
        <v>0.26119999999999999</v>
      </c>
      <c r="D167" s="58">
        <v>0.2596</v>
      </c>
      <c r="E167" s="58">
        <v>0.24329999999999999</v>
      </c>
      <c r="F167" s="58">
        <v>0.29330000000000001</v>
      </c>
      <c r="G167" s="58">
        <v>0.21290000000000001</v>
      </c>
    </row>
    <row r="171" spans="1:12" x14ac:dyDescent="0.25">
      <c r="A171" s="89" t="s">
        <v>188</v>
      </c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</row>
    <row r="172" spans="1:12" x14ac:dyDescent="0.25">
      <c r="A172" s="113" t="s">
        <v>173</v>
      </c>
      <c r="B172" s="113"/>
      <c r="C172" s="113"/>
      <c r="D172" s="113"/>
      <c r="E172" s="113"/>
      <c r="F172" s="113"/>
      <c r="G172" s="113"/>
      <c r="H172" s="114" t="s">
        <v>189</v>
      </c>
      <c r="I172" s="89"/>
      <c r="J172" s="89"/>
      <c r="K172" s="89"/>
      <c r="L172" s="89"/>
    </row>
    <row r="173" spans="1:12" x14ac:dyDescent="0.25">
      <c r="A173" s="58">
        <v>0</v>
      </c>
      <c r="B173" s="58">
        <v>0.2419</v>
      </c>
      <c r="C173" s="58">
        <v>0.30509999999999998</v>
      </c>
      <c r="D173" s="58">
        <v>0.247</v>
      </c>
      <c r="E173" s="58">
        <v>0.31159999999999999</v>
      </c>
      <c r="F173" s="58">
        <v>0.26679999999999998</v>
      </c>
      <c r="G173" s="58">
        <v>0.29049999999999998</v>
      </c>
    </row>
    <row r="174" spans="1:12" x14ac:dyDescent="0.25">
      <c r="A174" s="58">
        <v>0.21329999999999999</v>
      </c>
      <c r="B174" s="58">
        <v>0</v>
      </c>
      <c r="C174" s="58">
        <v>0.33069999999999999</v>
      </c>
      <c r="D174" s="58">
        <v>0.23769999999999999</v>
      </c>
      <c r="E174" s="58">
        <v>0.33760000000000001</v>
      </c>
      <c r="F174" s="58">
        <v>0.28320000000000001</v>
      </c>
      <c r="G174" s="58">
        <v>0.3044</v>
      </c>
    </row>
    <row r="175" spans="1:12" x14ac:dyDescent="0.25">
      <c r="A175" s="58">
        <v>0.13300000000000001</v>
      </c>
      <c r="B175" s="58">
        <v>0.15989999999999999</v>
      </c>
      <c r="C175" s="58">
        <v>0</v>
      </c>
      <c r="D175" s="58">
        <v>0.20849999999999999</v>
      </c>
      <c r="E175" s="58">
        <v>0.2074</v>
      </c>
      <c r="F175" s="58">
        <v>0.21879999999999999</v>
      </c>
      <c r="G175" s="58">
        <v>0.1585</v>
      </c>
    </row>
    <row r="176" spans="1:12" x14ac:dyDescent="0.25">
      <c r="A176" s="58">
        <v>0.40189999999999998</v>
      </c>
      <c r="B176" s="58">
        <v>0.39529999999999998</v>
      </c>
      <c r="C176" s="58">
        <v>0.57010000000000005</v>
      </c>
      <c r="D176" s="58">
        <v>0</v>
      </c>
      <c r="E176" s="58">
        <v>0.57799999999999996</v>
      </c>
      <c r="F176" s="58">
        <v>0.42430000000000001</v>
      </c>
      <c r="G176" s="58">
        <v>0.61129999999999995</v>
      </c>
    </row>
    <row r="177" spans="1:7" x14ac:dyDescent="0.25">
      <c r="A177" s="58">
        <v>0.15090000000000001</v>
      </c>
      <c r="B177" s="58">
        <v>0.15679999999999999</v>
      </c>
      <c r="C177" s="58">
        <v>0.23669999999999999</v>
      </c>
      <c r="D177" s="58">
        <v>0.21010000000000001</v>
      </c>
      <c r="E177" s="58">
        <v>0</v>
      </c>
      <c r="F177" s="58">
        <v>0.2329</v>
      </c>
      <c r="G177" s="58">
        <v>0.185</v>
      </c>
    </row>
    <row r="178" spans="1:7" x14ac:dyDescent="0.25">
      <c r="A178" s="58">
        <v>0.14369999999999999</v>
      </c>
      <c r="B178" s="58">
        <v>0.1555</v>
      </c>
      <c r="C178" s="58">
        <v>0.26900000000000002</v>
      </c>
      <c r="D178" s="58">
        <v>0.22</v>
      </c>
      <c r="E178" s="58">
        <v>0.29470000000000002</v>
      </c>
      <c r="F178" s="58">
        <v>0</v>
      </c>
      <c r="G178" s="58">
        <v>0.42420000000000002</v>
      </c>
    </row>
    <row r="179" spans="1:7" x14ac:dyDescent="0.25">
      <c r="A179" s="58">
        <v>0.1938</v>
      </c>
      <c r="B179" s="58">
        <v>0.18079999999999999</v>
      </c>
      <c r="C179" s="58">
        <v>0.26119999999999999</v>
      </c>
      <c r="D179" s="58">
        <v>0.2596</v>
      </c>
      <c r="E179" s="58">
        <v>0.24329999999999999</v>
      </c>
      <c r="F179" s="58">
        <v>0.29330000000000001</v>
      </c>
      <c r="G179" s="58">
        <v>0</v>
      </c>
    </row>
  </sheetData>
  <mergeCells count="148">
    <mergeCell ref="A53:BD53"/>
    <mergeCell ref="A55:G55"/>
    <mergeCell ref="H55:N55"/>
    <mergeCell ref="O55:U55"/>
    <mergeCell ref="V55:AB55"/>
    <mergeCell ref="AC55:AI55"/>
    <mergeCell ref="AJ55:AP55"/>
    <mergeCell ref="AQ55:AW55"/>
    <mergeCell ref="AX55:BD55"/>
    <mergeCell ref="A40:BD40"/>
    <mergeCell ref="A42:G42"/>
    <mergeCell ref="H42:N42"/>
    <mergeCell ref="O42:U42"/>
    <mergeCell ref="V42:AB42"/>
    <mergeCell ref="AC42:AI42"/>
    <mergeCell ref="AJ42:AP42"/>
    <mergeCell ref="AQ42:AW42"/>
    <mergeCell ref="AX42:BD42"/>
    <mergeCell ref="V29:AB29"/>
    <mergeCell ref="AC29:AI29"/>
    <mergeCell ref="AJ29:AP29"/>
    <mergeCell ref="AQ29:AW29"/>
    <mergeCell ref="AX29:BD29"/>
    <mergeCell ref="A29:G29"/>
    <mergeCell ref="H29:N29"/>
    <mergeCell ref="O29:U29"/>
    <mergeCell ref="A13:BD13"/>
    <mergeCell ref="A27:BD27"/>
    <mergeCell ref="A17:G17"/>
    <mergeCell ref="W10:Y10"/>
    <mergeCell ref="AX17:BD17"/>
    <mergeCell ref="O17:U17"/>
    <mergeCell ref="T8:V8"/>
    <mergeCell ref="W8:Y8"/>
    <mergeCell ref="H9:J9"/>
    <mergeCell ref="K9:M9"/>
    <mergeCell ref="N9:P9"/>
    <mergeCell ref="Q9:S9"/>
    <mergeCell ref="T9:V9"/>
    <mergeCell ref="W9:Y9"/>
    <mergeCell ref="AJ17:AP17"/>
    <mergeCell ref="AQ17:AW17"/>
    <mergeCell ref="H17:N17"/>
    <mergeCell ref="V17:AB17"/>
    <mergeCell ref="AC17:AI17"/>
    <mergeCell ref="K10:M10"/>
    <mergeCell ref="N10:P10"/>
    <mergeCell ref="Q10:S10"/>
    <mergeCell ref="W6:Y6"/>
    <mergeCell ref="H7:J7"/>
    <mergeCell ref="K7:M7"/>
    <mergeCell ref="N7:P7"/>
    <mergeCell ref="Q7:S7"/>
    <mergeCell ref="T7:V7"/>
    <mergeCell ref="W7:Y7"/>
    <mergeCell ref="W4:Y4"/>
    <mergeCell ref="H5:J5"/>
    <mergeCell ref="K5:M5"/>
    <mergeCell ref="N5:P5"/>
    <mergeCell ref="Q5:S5"/>
    <mergeCell ref="T5:V5"/>
    <mergeCell ref="W5:Y5"/>
    <mergeCell ref="T4:V4"/>
    <mergeCell ref="A2:Y2"/>
    <mergeCell ref="B3:D3"/>
    <mergeCell ref="E3:G3"/>
    <mergeCell ref="H3:J3"/>
    <mergeCell ref="K3:M3"/>
    <mergeCell ref="N3:P3"/>
    <mergeCell ref="Q3:S3"/>
    <mergeCell ref="T3:V3"/>
    <mergeCell ref="W3:Y3"/>
    <mergeCell ref="E9:G9"/>
    <mergeCell ref="B8:D8"/>
    <mergeCell ref="E8:G8"/>
    <mergeCell ref="H8:J8"/>
    <mergeCell ref="K8:M8"/>
    <mergeCell ref="N8:P8"/>
    <mergeCell ref="Q8:S8"/>
    <mergeCell ref="B5:D5"/>
    <mergeCell ref="E5:G5"/>
    <mergeCell ref="B4:D4"/>
    <mergeCell ref="E4:G4"/>
    <mergeCell ref="H4:J4"/>
    <mergeCell ref="K4:M4"/>
    <mergeCell ref="N4:P4"/>
    <mergeCell ref="Q4:S4"/>
    <mergeCell ref="A70:G70"/>
    <mergeCell ref="H70:N70"/>
    <mergeCell ref="O70:U70"/>
    <mergeCell ref="B7:D7"/>
    <mergeCell ref="E7:G7"/>
    <mergeCell ref="B6:D6"/>
    <mergeCell ref="T6:V6"/>
    <mergeCell ref="T10:V10"/>
    <mergeCell ref="E6:G6"/>
    <mergeCell ref="H6:J6"/>
    <mergeCell ref="K6:M6"/>
    <mergeCell ref="N6:P6"/>
    <mergeCell ref="Q6:S6"/>
    <mergeCell ref="B10:D10"/>
    <mergeCell ref="E10:G10"/>
    <mergeCell ref="H10:J10"/>
    <mergeCell ref="V70:AB70"/>
    <mergeCell ref="B9:D9"/>
    <mergeCell ref="AC70:AI70"/>
    <mergeCell ref="AJ70:AP70"/>
    <mergeCell ref="AQ70:AW70"/>
    <mergeCell ref="AX70:BD70"/>
    <mergeCell ref="A68:BD68"/>
    <mergeCell ref="A82:BD82"/>
    <mergeCell ref="A84:G84"/>
    <mergeCell ref="H84:N84"/>
    <mergeCell ref="O84:U84"/>
    <mergeCell ref="V84:AB84"/>
    <mergeCell ref="AC84:AI84"/>
    <mergeCell ref="AJ84:AP84"/>
    <mergeCell ref="AQ84:AW84"/>
    <mergeCell ref="AX84:BD84"/>
    <mergeCell ref="A96:BD96"/>
    <mergeCell ref="A98:G98"/>
    <mergeCell ref="H98:N98"/>
    <mergeCell ref="O98:U98"/>
    <mergeCell ref="V98:AB98"/>
    <mergeCell ref="AC98:AI98"/>
    <mergeCell ref="AJ98:AP98"/>
    <mergeCell ref="AQ98:AW98"/>
    <mergeCell ref="AX98:BD98"/>
    <mergeCell ref="A109:BD109"/>
    <mergeCell ref="A111:G111"/>
    <mergeCell ref="H111:N111"/>
    <mergeCell ref="O111:U111"/>
    <mergeCell ref="V111:AB111"/>
    <mergeCell ref="AC111:AI111"/>
    <mergeCell ref="AJ111:AP111"/>
    <mergeCell ref="AQ111:AW111"/>
    <mergeCell ref="AX111:BD111"/>
    <mergeCell ref="A171:L171"/>
    <mergeCell ref="A172:G172"/>
    <mergeCell ref="H172:L172"/>
    <mergeCell ref="A137:G137"/>
    <mergeCell ref="A124:G124"/>
    <mergeCell ref="A136:L136"/>
    <mergeCell ref="A147:L147"/>
    <mergeCell ref="A148:G148"/>
    <mergeCell ref="A159:L159"/>
    <mergeCell ref="A160:G160"/>
    <mergeCell ref="A126:G126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0797-0B29-413C-A764-1749D20AD41E}">
  <dimension ref="A3:BD117"/>
  <sheetViews>
    <sheetView topLeftCell="A66" zoomScale="80" zoomScaleNormal="80" workbookViewId="0">
      <selection activeCell="I110" sqref="I110:O117"/>
    </sheetView>
  </sheetViews>
  <sheetFormatPr defaultRowHeight="15" x14ac:dyDescent="0.25"/>
  <sheetData>
    <row r="3" spans="1:56" x14ac:dyDescent="0.25">
      <c r="A3" s="89" t="s">
        <v>161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</row>
    <row r="4" spans="1:56" x14ac:dyDescent="0.25">
      <c r="A4" s="11">
        <v>1</v>
      </c>
      <c r="B4" s="11">
        <v>2</v>
      </c>
      <c r="C4" s="11">
        <v>3</v>
      </c>
      <c r="D4" s="11">
        <v>4</v>
      </c>
      <c r="E4" s="11">
        <v>5</v>
      </c>
      <c r="F4" s="11">
        <v>6</v>
      </c>
      <c r="G4" s="11">
        <v>7</v>
      </c>
      <c r="H4" s="11">
        <v>1</v>
      </c>
      <c r="I4" s="11">
        <v>2</v>
      </c>
      <c r="J4" s="11">
        <v>3</v>
      </c>
      <c r="K4" s="11">
        <v>4</v>
      </c>
      <c r="L4" s="11">
        <v>5</v>
      </c>
      <c r="M4" s="11">
        <v>6</v>
      </c>
      <c r="N4" s="11">
        <v>7</v>
      </c>
      <c r="O4" s="11">
        <v>1</v>
      </c>
      <c r="P4" s="11">
        <v>2</v>
      </c>
      <c r="Q4" s="11">
        <v>3</v>
      </c>
      <c r="R4" s="11">
        <v>4</v>
      </c>
      <c r="S4" s="11">
        <v>5</v>
      </c>
      <c r="T4" s="11">
        <v>6</v>
      </c>
      <c r="U4" s="11">
        <v>7</v>
      </c>
      <c r="V4" s="11">
        <v>1</v>
      </c>
      <c r="W4" s="11">
        <v>2</v>
      </c>
      <c r="X4" s="11">
        <v>3</v>
      </c>
      <c r="Y4" s="11">
        <v>4</v>
      </c>
      <c r="Z4" s="11">
        <v>5</v>
      </c>
      <c r="AA4" s="11">
        <v>6</v>
      </c>
      <c r="AB4" s="11">
        <v>7</v>
      </c>
      <c r="AC4" s="11">
        <v>1</v>
      </c>
      <c r="AD4" s="11">
        <v>2</v>
      </c>
      <c r="AE4" s="11">
        <v>3</v>
      </c>
      <c r="AF4" s="11">
        <v>4</v>
      </c>
      <c r="AG4" s="11">
        <v>5</v>
      </c>
      <c r="AH4" s="11">
        <v>6</v>
      </c>
      <c r="AI4" s="11">
        <v>7</v>
      </c>
      <c r="AJ4" s="11">
        <v>1</v>
      </c>
      <c r="AK4" s="11">
        <v>2</v>
      </c>
      <c r="AL4" s="11">
        <v>3</v>
      </c>
      <c r="AM4" s="11">
        <v>4</v>
      </c>
      <c r="AN4" s="11">
        <v>5</v>
      </c>
      <c r="AO4" s="11">
        <v>6</v>
      </c>
      <c r="AP4" s="11">
        <v>7</v>
      </c>
      <c r="AQ4" s="11">
        <v>1</v>
      </c>
      <c r="AR4" s="11">
        <v>2</v>
      </c>
      <c r="AS4" s="11">
        <v>3</v>
      </c>
      <c r="AT4" s="11">
        <v>4</v>
      </c>
      <c r="AU4" s="11">
        <v>5</v>
      </c>
      <c r="AV4" s="11">
        <v>6</v>
      </c>
      <c r="AW4" s="11">
        <v>7</v>
      </c>
      <c r="AX4" s="11">
        <v>1</v>
      </c>
      <c r="AY4" s="11">
        <v>2</v>
      </c>
      <c r="AZ4" s="11">
        <v>3</v>
      </c>
      <c r="BA4" s="11">
        <v>4</v>
      </c>
      <c r="BB4" s="11">
        <v>5</v>
      </c>
      <c r="BC4" s="11">
        <v>6</v>
      </c>
      <c r="BD4" s="11">
        <v>7</v>
      </c>
    </row>
    <row r="5" spans="1:56" x14ac:dyDescent="0.25">
      <c r="A5" s="113" t="s">
        <v>150</v>
      </c>
      <c r="B5" s="113"/>
      <c r="C5" s="113"/>
      <c r="D5" s="113"/>
      <c r="E5" s="113"/>
      <c r="F5" s="113"/>
      <c r="G5" s="113"/>
      <c r="H5" s="115" t="s">
        <v>151</v>
      </c>
      <c r="I5" s="115"/>
      <c r="J5" s="115"/>
      <c r="K5" s="115"/>
      <c r="L5" s="115"/>
      <c r="M5" s="115"/>
      <c r="N5" s="115"/>
      <c r="O5" s="116" t="s">
        <v>152</v>
      </c>
      <c r="P5" s="117"/>
      <c r="Q5" s="117"/>
      <c r="R5" s="117"/>
      <c r="S5" s="117"/>
      <c r="T5" s="117"/>
      <c r="U5" s="118"/>
      <c r="V5" s="115" t="s">
        <v>153</v>
      </c>
      <c r="W5" s="115"/>
      <c r="X5" s="115"/>
      <c r="Y5" s="115"/>
      <c r="Z5" s="115"/>
      <c r="AA5" s="115"/>
      <c r="AB5" s="115"/>
      <c r="AC5" s="116" t="s">
        <v>154</v>
      </c>
      <c r="AD5" s="117"/>
      <c r="AE5" s="117"/>
      <c r="AF5" s="117"/>
      <c r="AG5" s="117"/>
      <c r="AH5" s="117"/>
      <c r="AI5" s="118"/>
      <c r="AJ5" s="119" t="s">
        <v>156</v>
      </c>
      <c r="AK5" s="120"/>
      <c r="AL5" s="120"/>
      <c r="AM5" s="120"/>
      <c r="AN5" s="120"/>
      <c r="AO5" s="120"/>
      <c r="AP5" s="121"/>
      <c r="AQ5" s="116" t="s">
        <v>155</v>
      </c>
      <c r="AR5" s="117"/>
      <c r="AS5" s="117"/>
      <c r="AT5" s="117"/>
      <c r="AU5" s="117"/>
      <c r="AV5" s="117"/>
      <c r="AW5" s="118"/>
      <c r="AX5" s="119" t="s">
        <v>157</v>
      </c>
      <c r="AY5" s="120"/>
      <c r="AZ5" s="120"/>
      <c r="BA5" s="120"/>
      <c r="BB5" s="120"/>
      <c r="BC5" s="120"/>
      <c r="BD5" s="121"/>
    </row>
    <row r="6" spans="1:56" x14ac:dyDescent="0.25">
      <c r="A6" s="58">
        <v>0</v>
      </c>
      <c r="B6" s="58">
        <v>-0.14280000000000001</v>
      </c>
      <c r="C6" s="58">
        <v>-9.8000000000000004E-2</v>
      </c>
      <c r="D6" s="58">
        <v>0.69740000000000002</v>
      </c>
      <c r="E6" s="58">
        <v>-0.41699999999999998</v>
      </c>
      <c r="F6" s="58">
        <v>0.44069999999999998</v>
      </c>
      <c r="G6" s="58">
        <v>-0.52059999999999995</v>
      </c>
      <c r="H6" s="59">
        <v>0</v>
      </c>
      <c r="I6" s="59">
        <v>2.3800000000000002E-2</v>
      </c>
      <c r="J6" s="59">
        <v>-0.34229999999999999</v>
      </c>
      <c r="K6" s="59">
        <v>0.64080000000000004</v>
      </c>
      <c r="L6" s="59">
        <v>-6.4100000000000004E-2</v>
      </c>
      <c r="M6" s="59">
        <v>0.17979999999999999</v>
      </c>
      <c r="N6" s="59">
        <v>-0.54879999999999995</v>
      </c>
      <c r="O6" s="58">
        <v>0</v>
      </c>
      <c r="P6" s="58">
        <v>-0.35880000000000001</v>
      </c>
      <c r="Q6" s="58">
        <v>-0.3221</v>
      </c>
      <c r="R6" s="58">
        <v>-0.39939999999999998</v>
      </c>
      <c r="S6" s="58">
        <v>-0.36430000000000001</v>
      </c>
      <c r="T6" s="58">
        <v>-0.3226</v>
      </c>
      <c r="U6" s="58">
        <v>-2.69E-2</v>
      </c>
      <c r="V6" s="59">
        <v>0</v>
      </c>
      <c r="W6" s="59">
        <v>0.14180000000000001</v>
      </c>
      <c r="X6" s="59">
        <v>-0.1681</v>
      </c>
      <c r="Y6" s="59">
        <v>0.72819999999999996</v>
      </c>
      <c r="Z6" s="59">
        <v>-0.38990000000000002</v>
      </c>
      <c r="AA6" s="59">
        <v>-0.19309999999999999</v>
      </c>
      <c r="AB6" s="59">
        <v>-0.29770000000000002</v>
      </c>
      <c r="AC6" s="58">
        <v>0</v>
      </c>
      <c r="AD6" s="58">
        <v>-0.14000000000000001</v>
      </c>
      <c r="AE6" s="58">
        <v>-0.2994</v>
      </c>
      <c r="AF6" s="58">
        <v>-0.71870000000000001</v>
      </c>
      <c r="AG6" s="58">
        <v>-0.15260000000000001</v>
      </c>
      <c r="AH6" s="58">
        <v>-0.65559999999999996</v>
      </c>
      <c r="AI6" s="58">
        <v>-0.6976</v>
      </c>
      <c r="AJ6" s="59">
        <v>0</v>
      </c>
      <c r="AK6" s="59">
        <v>0.15359999999999999</v>
      </c>
      <c r="AL6" s="59">
        <v>0.1331</v>
      </c>
      <c r="AM6" s="59">
        <v>0.54779999999999995</v>
      </c>
      <c r="AN6" s="59">
        <v>-0.126</v>
      </c>
      <c r="AO6" s="59">
        <v>0.41520000000000001</v>
      </c>
      <c r="AP6" s="59">
        <v>0.10199999999999999</v>
      </c>
      <c r="AQ6" s="58">
        <v>0</v>
      </c>
      <c r="AR6" s="58">
        <v>0.39410000000000001</v>
      </c>
      <c r="AS6" s="58">
        <v>7.1599999999999997E-2</v>
      </c>
      <c r="AT6" s="58">
        <v>0.36480000000000001</v>
      </c>
      <c r="AU6" s="58">
        <v>0.23169999999999999</v>
      </c>
      <c r="AV6" s="58">
        <v>9.1800000000000007E-2</v>
      </c>
      <c r="AW6" s="58">
        <v>0.42709999999999998</v>
      </c>
      <c r="AX6" s="59">
        <v>0</v>
      </c>
      <c r="AY6" s="59">
        <v>-1.66E-2</v>
      </c>
      <c r="AZ6" s="59">
        <v>1.35E-2</v>
      </c>
      <c r="BA6" s="59">
        <v>-7.6999999999999999E-2</v>
      </c>
      <c r="BB6" s="59">
        <v>0.1007</v>
      </c>
      <c r="BC6" s="59">
        <v>0.3518</v>
      </c>
      <c r="BD6" s="59">
        <v>-2.1399999999999999E-2</v>
      </c>
    </row>
    <row r="7" spans="1:56" x14ac:dyDescent="0.25">
      <c r="A7" s="58">
        <v>0.14280000000000001</v>
      </c>
      <c r="B7" s="58">
        <v>0</v>
      </c>
      <c r="C7" s="58">
        <v>4.48E-2</v>
      </c>
      <c r="D7" s="58">
        <v>0.84019999999999995</v>
      </c>
      <c r="E7" s="58">
        <v>-0.2742</v>
      </c>
      <c r="F7" s="58">
        <v>0.58350000000000002</v>
      </c>
      <c r="G7" s="58">
        <v>-0.37780000000000002</v>
      </c>
      <c r="H7" s="59">
        <v>-2.3800000000000002E-2</v>
      </c>
      <c r="I7" s="59">
        <v>0</v>
      </c>
      <c r="J7" s="59">
        <v>-0.36609999999999998</v>
      </c>
      <c r="K7" s="59">
        <v>0.61699999999999999</v>
      </c>
      <c r="L7" s="59">
        <v>-8.7900000000000006E-2</v>
      </c>
      <c r="M7" s="59">
        <v>0.156</v>
      </c>
      <c r="N7" s="59">
        <v>-0.5726</v>
      </c>
      <c r="O7" s="58">
        <v>0.35880000000000001</v>
      </c>
      <c r="P7" s="58">
        <v>0</v>
      </c>
      <c r="Q7" s="58">
        <v>3.6700000000000003E-2</v>
      </c>
      <c r="R7" s="58">
        <v>-4.0599999999999997E-2</v>
      </c>
      <c r="S7" s="58">
        <v>-5.4999999999999997E-3</v>
      </c>
      <c r="T7" s="58">
        <v>3.6200000000000003E-2</v>
      </c>
      <c r="U7" s="58">
        <v>0.33189999999999997</v>
      </c>
      <c r="V7" s="59">
        <v>-0.14180000000000001</v>
      </c>
      <c r="W7" s="59">
        <v>0</v>
      </c>
      <c r="X7" s="59">
        <v>-0.30990000000000001</v>
      </c>
      <c r="Y7" s="59">
        <v>0.58640000000000003</v>
      </c>
      <c r="Z7" s="59">
        <v>-0.53169999999999995</v>
      </c>
      <c r="AA7" s="59">
        <v>-0.33489999999999998</v>
      </c>
      <c r="AB7" s="59">
        <v>-0.4395</v>
      </c>
      <c r="AC7" s="58">
        <v>0.14000000000000001</v>
      </c>
      <c r="AD7" s="58">
        <v>0</v>
      </c>
      <c r="AE7" s="58">
        <v>-0.15939999999999999</v>
      </c>
      <c r="AF7" s="58">
        <v>-0.57869999999999999</v>
      </c>
      <c r="AG7" s="58">
        <v>-1.26E-2</v>
      </c>
      <c r="AH7" s="58">
        <v>-0.51559999999999995</v>
      </c>
      <c r="AI7" s="58">
        <v>-0.55759999999999998</v>
      </c>
      <c r="AJ7" s="59">
        <v>-0.15359999999999999</v>
      </c>
      <c r="AK7" s="59">
        <v>0</v>
      </c>
      <c r="AL7" s="59">
        <v>-2.0500000000000001E-2</v>
      </c>
      <c r="AM7" s="59">
        <v>0.39419999999999999</v>
      </c>
      <c r="AN7" s="59">
        <v>-0.27960000000000002</v>
      </c>
      <c r="AO7" s="59">
        <v>0.2616</v>
      </c>
      <c r="AP7" s="59">
        <v>-5.16E-2</v>
      </c>
      <c r="AQ7" s="58">
        <v>-0.39410000000000001</v>
      </c>
      <c r="AR7" s="58">
        <v>0</v>
      </c>
      <c r="AS7" s="58">
        <v>-0.32250000000000001</v>
      </c>
      <c r="AT7" s="58">
        <v>-2.93E-2</v>
      </c>
      <c r="AU7" s="58">
        <v>-0.16239999999999999</v>
      </c>
      <c r="AV7" s="58">
        <v>-0.30230000000000001</v>
      </c>
      <c r="AW7" s="58">
        <v>3.3000000000000002E-2</v>
      </c>
      <c r="AX7" s="59">
        <v>1.66E-2</v>
      </c>
      <c r="AY7" s="59">
        <v>0</v>
      </c>
      <c r="AZ7" s="59">
        <v>3.0099999999999998E-2</v>
      </c>
      <c r="BA7" s="59">
        <v>-6.0400000000000002E-2</v>
      </c>
      <c r="BB7" s="59">
        <v>0.1173</v>
      </c>
      <c r="BC7" s="59">
        <v>0.36840000000000001</v>
      </c>
      <c r="BD7" s="59">
        <v>-4.7999999999999996E-3</v>
      </c>
    </row>
    <row r="8" spans="1:56" x14ac:dyDescent="0.25">
      <c r="A8" s="58">
        <v>9.8000000000000004E-2</v>
      </c>
      <c r="B8" s="58">
        <v>-4.48E-2</v>
      </c>
      <c r="C8" s="58">
        <v>0</v>
      </c>
      <c r="D8" s="58">
        <v>0.7954</v>
      </c>
      <c r="E8" s="58">
        <v>-0.31900000000000001</v>
      </c>
      <c r="F8" s="58">
        <v>0.53869999999999996</v>
      </c>
      <c r="G8" s="58">
        <v>-0.42259999999999998</v>
      </c>
      <c r="H8" s="59">
        <v>0.34229999999999999</v>
      </c>
      <c r="I8" s="59">
        <v>0.36609999999999998</v>
      </c>
      <c r="J8" s="59">
        <v>0</v>
      </c>
      <c r="K8" s="59">
        <v>0.98309999999999997</v>
      </c>
      <c r="L8" s="59">
        <v>0.2782</v>
      </c>
      <c r="M8" s="59">
        <v>0.52210000000000001</v>
      </c>
      <c r="N8" s="59">
        <v>-0.20649999999999999</v>
      </c>
      <c r="O8" s="58">
        <v>0.3221</v>
      </c>
      <c r="P8" s="58">
        <v>-3.6700000000000003E-2</v>
      </c>
      <c r="Q8" s="58">
        <v>0</v>
      </c>
      <c r="R8" s="58">
        <v>-7.7299999999999994E-2</v>
      </c>
      <c r="S8" s="58">
        <v>-4.2200000000000001E-2</v>
      </c>
      <c r="T8" s="58">
        <v>-5.0000000000000001E-4</v>
      </c>
      <c r="U8" s="58">
        <v>0.29520000000000002</v>
      </c>
      <c r="V8" s="59">
        <v>0.1681</v>
      </c>
      <c r="W8" s="59">
        <v>0.30990000000000001</v>
      </c>
      <c r="X8" s="59">
        <v>0</v>
      </c>
      <c r="Y8" s="59">
        <v>0.89629999999999999</v>
      </c>
      <c r="Z8" s="59">
        <v>-0.2218</v>
      </c>
      <c r="AA8" s="59">
        <v>-2.5000000000000001E-2</v>
      </c>
      <c r="AB8" s="59">
        <v>-0.12959999999999999</v>
      </c>
      <c r="AC8" s="58">
        <v>0.2994</v>
      </c>
      <c r="AD8" s="58">
        <v>0.15939999999999999</v>
      </c>
      <c r="AE8" s="58">
        <v>0</v>
      </c>
      <c r="AF8" s="58">
        <v>-0.41930000000000001</v>
      </c>
      <c r="AG8" s="58">
        <v>0.14680000000000001</v>
      </c>
      <c r="AH8" s="58">
        <v>-0.35620000000000002</v>
      </c>
      <c r="AI8" s="58">
        <v>-0.3982</v>
      </c>
      <c r="AJ8" s="59">
        <v>-0.1331</v>
      </c>
      <c r="AK8" s="59">
        <v>2.0500000000000001E-2</v>
      </c>
      <c r="AL8" s="59">
        <v>0</v>
      </c>
      <c r="AM8" s="59">
        <v>0.41470000000000001</v>
      </c>
      <c r="AN8" s="59">
        <v>-0.2591</v>
      </c>
      <c r="AO8" s="59">
        <v>0.28210000000000002</v>
      </c>
      <c r="AP8" s="59">
        <v>-3.1099999999999999E-2</v>
      </c>
      <c r="AQ8" s="58">
        <v>-7.1599999999999997E-2</v>
      </c>
      <c r="AR8" s="58">
        <v>0.32250000000000001</v>
      </c>
      <c r="AS8" s="58">
        <v>0</v>
      </c>
      <c r="AT8" s="58">
        <v>0.29320000000000002</v>
      </c>
      <c r="AU8" s="58">
        <v>0.16009999999999999</v>
      </c>
      <c r="AV8" s="58">
        <v>2.0199999999999999E-2</v>
      </c>
      <c r="AW8" s="58">
        <v>0.35549999999999998</v>
      </c>
      <c r="AX8" s="59">
        <v>-1.35E-2</v>
      </c>
      <c r="AY8" s="59">
        <v>-3.0099999999999998E-2</v>
      </c>
      <c r="AZ8" s="59">
        <v>0</v>
      </c>
      <c r="BA8" s="59">
        <v>-9.0499999999999997E-2</v>
      </c>
      <c r="BB8" s="59">
        <v>8.72E-2</v>
      </c>
      <c r="BC8" s="59">
        <v>0.33829999999999999</v>
      </c>
      <c r="BD8" s="59">
        <v>-3.49E-2</v>
      </c>
    </row>
    <row r="9" spans="1:56" x14ac:dyDescent="0.25">
      <c r="A9" s="58">
        <v>-0.69740000000000002</v>
      </c>
      <c r="B9" s="58">
        <v>-0.84019999999999995</v>
      </c>
      <c r="C9" s="58">
        <v>-0.7954</v>
      </c>
      <c r="D9" s="58">
        <v>0</v>
      </c>
      <c r="E9" s="58">
        <v>-1.1144000000000001</v>
      </c>
      <c r="F9" s="58">
        <v>-0.25669999999999998</v>
      </c>
      <c r="G9" s="58">
        <v>-1.218</v>
      </c>
      <c r="H9" s="59">
        <v>-0.64080000000000004</v>
      </c>
      <c r="I9" s="59">
        <v>-0.61699999999999999</v>
      </c>
      <c r="J9" s="59">
        <v>-0.98309999999999997</v>
      </c>
      <c r="K9" s="59">
        <v>0</v>
      </c>
      <c r="L9" s="59">
        <v>-0.70489999999999997</v>
      </c>
      <c r="M9" s="59">
        <v>-0.46100000000000002</v>
      </c>
      <c r="N9" s="59">
        <v>-1.1896</v>
      </c>
      <c r="O9" s="58">
        <v>0.39939999999999998</v>
      </c>
      <c r="P9" s="58">
        <v>4.0599999999999997E-2</v>
      </c>
      <c r="Q9" s="58">
        <v>7.7299999999999994E-2</v>
      </c>
      <c r="R9" s="58">
        <v>0</v>
      </c>
      <c r="S9" s="58">
        <v>3.5099999999999999E-2</v>
      </c>
      <c r="T9" s="58">
        <v>7.6799999999999993E-2</v>
      </c>
      <c r="U9" s="58">
        <v>0.3725</v>
      </c>
      <c r="V9" s="59">
        <v>-0.72819999999999996</v>
      </c>
      <c r="W9" s="59">
        <v>-0.58640000000000003</v>
      </c>
      <c r="X9" s="59">
        <v>-0.89629999999999999</v>
      </c>
      <c r="Y9" s="59">
        <v>0</v>
      </c>
      <c r="Z9" s="59">
        <v>-1.1181000000000001</v>
      </c>
      <c r="AA9" s="59">
        <v>-0.92130000000000001</v>
      </c>
      <c r="AB9" s="59">
        <v>-1.0259</v>
      </c>
      <c r="AC9" s="58">
        <v>0.71870000000000001</v>
      </c>
      <c r="AD9" s="58">
        <v>0.57869999999999999</v>
      </c>
      <c r="AE9" s="58">
        <v>0.41930000000000001</v>
      </c>
      <c r="AF9" s="58">
        <v>0</v>
      </c>
      <c r="AG9" s="58">
        <v>0.56610000000000005</v>
      </c>
      <c r="AH9" s="58">
        <v>6.3100000000000003E-2</v>
      </c>
      <c r="AI9" s="58">
        <v>2.1100000000000001E-2</v>
      </c>
      <c r="AJ9" s="59">
        <v>-0.54779999999999995</v>
      </c>
      <c r="AK9" s="59">
        <v>-0.39419999999999999</v>
      </c>
      <c r="AL9" s="59">
        <v>-0.41470000000000001</v>
      </c>
      <c r="AM9" s="59">
        <v>0</v>
      </c>
      <c r="AN9" s="59">
        <v>-0.67379999999999995</v>
      </c>
      <c r="AO9" s="59">
        <v>-0.1326</v>
      </c>
      <c r="AP9" s="59">
        <v>-0.44579999999999997</v>
      </c>
      <c r="AQ9" s="58">
        <v>-0.36480000000000001</v>
      </c>
      <c r="AR9" s="58">
        <v>2.93E-2</v>
      </c>
      <c r="AS9" s="58">
        <v>-0.29320000000000002</v>
      </c>
      <c r="AT9" s="58">
        <v>0</v>
      </c>
      <c r="AU9" s="58">
        <v>-0.1331</v>
      </c>
      <c r="AV9" s="58">
        <v>-0.27300000000000002</v>
      </c>
      <c r="AW9" s="58">
        <v>6.2300000000000001E-2</v>
      </c>
      <c r="AX9" s="59">
        <v>7.6999999999999999E-2</v>
      </c>
      <c r="AY9" s="59">
        <v>6.0400000000000002E-2</v>
      </c>
      <c r="AZ9" s="59">
        <v>9.0499999999999997E-2</v>
      </c>
      <c r="BA9" s="59">
        <v>0</v>
      </c>
      <c r="BB9" s="59">
        <v>0.1777</v>
      </c>
      <c r="BC9" s="59">
        <v>0.42880000000000001</v>
      </c>
      <c r="BD9" s="59">
        <v>5.5599999999999997E-2</v>
      </c>
    </row>
    <row r="10" spans="1:56" x14ac:dyDescent="0.25">
      <c r="A10" s="58">
        <v>0.41699999999999998</v>
      </c>
      <c r="B10" s="58">
        <v>0.2742</v>
      </c>
      <c r="C10" s="58">
        <v>0.31900000000000001</v>
      </c>
      <c r="D10" s="58">
        <v>1.1144000000000001</v>
      </c>
      <c r="E10" s="58">
        <v>0</v>
      </c>
      <c r="F10" s="58">
        <v>0.85770000000000002</v>
      </c>
      <c r="G10" s="58">
        <v>-0.1036</v>
      </c>
      <c r="H10" s="59">
        <v>6.4100000000000004E-2</v>
      </c>
      <c r="I10" s="59">
        <v>8.7900000000000006E-2</v>
      </c>
      <c r="J10" s="59">
        <v>-0.2782</v>
      </c>
      <c r="K10" s="59">
        <v>0.70489999999999997</v>
      </c>
      <c r="L10" s="59">
        <v>0</v>
      </c>
      <c r="M10" s="59">
        <v>0.24390000000000001</v>
      </c>
      <c r="N10" s="59">
        <v>-0.48470000000000002</v>
      </c>
      <c r="O10" s="58">
        <v>0.36430000000000001</v>
      </c>
      <c r="P10" s="58">
        <v>5.4999999999999997E-3</v>
      </c>
      <c r="Q10" s="58">
        <v>4.2200000000000001E-2</v>
      </c>
      <c r="R10" s="58">
        <v>-3.5099999999999999E-2</v>
      </c>
      <c r="S10" s="58">
        <v>0</v>
      </c>
      <c r="T10" s="58">
        <v>4.1700000000000001E-2</v>
      </c>
      <c r="U10" s="58">
        <v>0.33739999999999998</v>
      </c>
      <c r="V10" s="59">
        <v>0.38990000000000002</v>
      </c>
      <c r="W10" s="59">
        <v>0.53169999999999995</v>
      </c>
      <c r="X10" s="59">
        <v>0.2218</v>
      </c>
      <c r="Y10" s="59">
        <v>1.1181000000000001</v>
      </c>
      <c r="Z10" s="59">
        <v>0</v>
      </c>
      <c r="AA10" s="59">
        <v>0.1968</v>
      </c>
      <c r="AB10" s="59">
        <v>9.2200000000000004E-2</v>
      </c>
      <c r="AC10" s="58">
        <v>0.15260000000000001</v>
      </c>
      <c r="AD10" s="58">
        <v>1.26E-2</v>
      </c>
      <c r="AE10" s="58">
        <v>-0.14680000000000001</v>
      </c>
      <c r="AF10" s="58">
        <v>-0.56610000000000005</v>
      </c>
      <c r="AG10" s="58">
        <v>0</v>
      </c>
      <c r="AH10" s="58">
        <v>-0.503</v>
      </c>
      <c r="AI10" s="58">
        <v>-0.54500000000000004</v>
      </c>
      <c r="AJ10" s="59">
        <v>0.126</v>
      </c>
      <c r="AK10" s="59">
        <v>0.27960000000000002</v>
      </c>
      <c r="AL10" s="59">
        <v>0.2591</v>
      </c>
      <c r="AM10" s="59">
        <v>0.67379999999999995</v>
      </c>
      <c r="AN10" s="59">
        <v>0</v>
      </c>
      <c r="AO10" s="59">
        <v>0.54120000000000001</v>
      </c>
      <c r="AP10" s="59">
        <v>0.22800000000000001</v>
      </c>
      <c r="AQ10" s="58">
        <v>-0.23169999999999999</v>
      </c>
      <c r="AR10" s="58">
        <v>0.16239999999999999</v>
      </c>
      <c r="AS10" s="58">
        <v>-0.16009999999999999</v>
      </c>
      <c r="AT10" s="58">
        <v>0.1331</v>
      </c>
      <c r="AU10" s="58">
        <v>0</v>
      </c>
      <c r="AV10" s="58">
        <v>-0.1399</v>
      </c>
      <c r="AW10" s="58">
        <v>0.19539999999999999</v>
      </c>
      <c r="AX10" s="59">
        <v>-0.1007</v>
      </c>
      <c r="AY10" s="59">
        <v>-0.1173</v>
      </c>
      <c r="AZ10" s="59">
        <v>-8.72E-2</v>
      </c>
      <c r="BA10" s="59">
        <v>-0.1777</v>
      </c>
      <c r="BB10" s="59">
        <v>0</v>
      </c>
      <c r="BC10" s="59">
        <v>0.25109999999999999</v>
      </c>
      <c r="BD10" s="59">
        <v>-0.1221</v>
      </c>
    </row>
    <row r="11" spans="1:56" x14ac:dyDescent="0.25">
      <c r="A11" s="58">
        <v>-0.44069999999999998</v>
      </c>
      <c r="B11" s="58">
        <v>-0.58350000000000002</v>
      </c>
      <c r="C11" s="58">
        <v>-0.53869999999999996</v>
      </c>
      <c r="D11" s="58">
        <v>0.25669999999999998</v>
      </c>
      <c r="E11" s="58">
        <v>-0.85770000000000002</v>
      </c>
      <c r="F11" s="58">
        <v>0</v>
      </c>
      <c r="G11" s="58">
        <v>-0.96130000000000004</v>
      </c>
      <c r="H11" s="59">
        <v>-0.17979999999999999</v>
      </c>
      <c r="I11" s="59">
        <v>-0.156</v>
      </c>
      <c r="J11" s="59">
        <v>-0.52210000000000001</v>
      </c>
      <c r="K11" s="59">
        <v>0.46100000000000002</v>
      </c>
      <c r="L11" s="59">
        <v>-0.24390000000000001</v>
      </c>
      <c r="M11" s="59">
        <v>0</v>
      </c>
      <c r="N11" s="59">
        <v>-0.72860000000000003</v>
      </c>
      <c r="O11" s="58">
        <v>0.3226</v>
      </c>
      <c r="P11" s="58">
        <v>-3.6200000000000003E-2</v>
      </c>
      <c r="Q11" s="58">
        <v>5.0000000000000001E-4</v>
      </c>
      <c r="R11" s="58">
        <v>-7.6799999999999993E-2</v>
      </c>
      <c r="S11" s="58">
        <v>-4.1700000000000001E-2</v>
      </c>
      <c r="T11" s="58">
        <v>0</v>
      </c>
      <c r="U11" s="58">
        <v>0.29570000000000002</v>
      </c>
      <c r="V11" s="59">
        <v>0.19309999999999999</v>
      </c>
      <c r="W11" s="59">
        <v>0.33489999999999998</v>
      </c>
      <c r="X11" s="59">
        <v>2.5000000000000001E-2</v>
      </c>
      <c r="Y11" s="59">
        <v>0.92130000000000001</v>
      </c>
      <c r="Z11" s="59">
        <v>-0.1968</v>
      </c>
      <c r="AA11" s="59">
        <v>0</v>
      </c>
      <c r="AB11" s="59">
        <v>-0.1046</v>
      </c>
      <c r="AC11" s="58">
        <v>0.65559999999999996</v>
      </c>
      <c r="AD11" s="58">
        <v>0.51559999999999995</v>
      </c>
      <c r="AE11" s="58">
        <v>0.35620000000000002</v>
      </c>
      <c r="AF11" s="58">
        <v>-6.3100000000000003E-2</v>
      </c>
      <c r="AG11" s="58">
        <v>0.503</v>
      </c>
      <c r="AH11" s="58">
        <v>0</v>
      </c>
      <c r="AI11" s="58">
        <v>-4.2000000000000003E-2</v>
      </c>
      <c r="AJ11" s="59">
        <v>-0.41520000000000001</v>
      </c>
      <c r="AK11" s="59">
        <v>-0.2616</v>
      </c>
      <c r="AL11" s="59">
        <v>-0.28210000000000002</v>
      </c>
      <c r="AM11" s="59">
        <v>0.1326</v>
      </c>
      <c r="AN11" s="59">
        <v>-0.54120000000000001</v>
      </c>
      <c r="AO11" s="59">
        <v>0</v>
      </c>
      <c r="AP11" s="59">
        <v>-0.31319999999999998</v>
      </c>
      <c r="AQ11" s="58">
        <v>-9.1800000000000007E-2</v>
      </c>
      <c r="AR11" s="58">
        <v>0.30230000000000001</v>
      </c>
      <c r="AS11" s="58">
        <v>-2.0199999999999999E-2</v>
      </c>
      <c r="AT11" s="58">
        <v>0.27300000000000002</v>
      </c>
      <c r="AU11" s="58">
        <v>0.1399</v>
      </c>
      <c r="AV11" s="58">
        <v>0</v>
      </c>
      <c r="AW11" s="58">
        <v>0.33529999999999999</v>
      </c>
      <c r="AX11" s="59">
        <v>-0.3518</v>
      </c>
      <c r="AY11" s="59">
        <v>-0.36840000000000001</v>
      </c>
      <c r="AZ11" s="59">
        <v>-0.33829999999999999</v>
      </c>
      <c r="BA11" s="59">
        <v>-0.42880000000000001</v>
      </c>
      <c r="BB11" s="59">
        <v>-0.25109999999999999</v>
      </c>
      <c r="BC11" s="59">
        <v>0</v>
      </c>
      <c r="BD11" s="59">
        <v>-0.37319999999999998</v>
      </c>
    </row>
    <row r="12" spans="1:56" x14ac:dyDescent="0.25">
      <c r="A12" s="58">
        <v>0.52059999999999995</v>
      </c>
      <c r="B12" s="58">
        <v>0.37780000000000002</v>
      </c>
      <c r="C12" s="58">
        <v>0.42259999999999998</v>
      </c>
      <c r="D12" s="58">
        <v>1.218</v>
      </c>
      <c r="E12" s="58">
        <v>0.1036</v>
      </c>
      <c r="F12" s="58">
        <v>0.96130000000000004</v>
      </c>
      <c r="G12" s="58">
        <v>0</v>
      </c>
      <c r="H12" s="59">
        <v>0.54879999999999995</v>
      </c>
      <c r="I12" s="59">
        <v>0.5726</v>
      </c>
      <c r="J12" s="59">
        <v>0.20649999999999999</v>
      </c>
      <c r="K12" s="59">
        <v>1.1896</v>
      </c>
      <c r="L12" s="59">
        <v>0.48470000000000002</v>
      </c>
      <c r="M12" s="59">
        <v>0.72860000000000003</v>
      </c>
      <c r="N12" s="59">
        <v>0</v>
      </c>
      <c r="O12" s="58">
        <v>2.69E-2</v>
      </c>
      <c r="P12" s="58">
        <v>-0.33189999999999997</v>
      </c>
      <c r="Q12" s="58">
        <v>-0.29520000000000002</v>
      </c>
      <c r="R12" s="58">
        <v>-0.3725</v>
      </c>
      <c r="S12" s="58">
        <v>-0.33739999999999998</v>
      </c>
      <c r="T12" s="58">
        <v>-0.29570000000000002</v>
      </c>
      <c r="U12" s="58">
        <v>0</v>
      </c>
      <c r="V12" s="59">
        <v>0.29770000000000002</v>
      </c>
      <c r="W12" s="59">
        <v>0.4395</v>
      </c>
      <c r="X12" s="59">
        <v>0.12959999999999999</v>
      </c>
      <c r="Y12" s="59">
        <v>1.0259</v>
      </c>
      <c r="Z12" s="59">
        <v>-9.2200000000000004E-2</v>
      </c>
      <c r="AA12" s="59">
        <v>0.1046</v>
      </c>
      <c r="AB12" s="59">
        <v>0</v>
      </c>
      <c r="AC12" s="58">
        <v>0.6976</v>
      </c>
      <c r="AD12" s="58">
        <v>0.55759999999999998</v>
      </c>
      <c r="AE12" s="58">
        <v>0.3982</v>
      </c>
      <c r="AF12" s="58">
        <v>-2.1100000000000001E-2</v>
      </c>
      <c r="AG12" s="58">
        <v>0.54500000000000004</v>
      </c>
      <c r="AH12" s="58">
        <v>4.2000000000000003E-2</v>
      </c>
      <c r="AI12" s="58">
        <v>0</v>
      </c>
      <c r="AJ12" s="59">
        <v>-0.10199999999999999</v>
      </c>
      <c r="AK12" s="59">
        <v>5.16E-2</v>
      </c>
      <c r="AL12" s="59">
        <v>3.1099999999999999E-2</v>
      </c>
      <c r="AM12" s="59">
        <v>0.44579999999999997</v>
      </c>
      <c r="AN12" s="59">
        <v>-0.22800000000000001</v>
      </c>
      <c r="AO12" s="59">
        <v>0.31319999999999998</v>
      </c>
      <c r="AP12" s="59">
        <v>0</v>
      </c>
      <c r="AQ12" s="58">
        <v>-0.42709999999999998</v>
      </c>
      <c r="AR12" s="58">
        <v>-3.3000000000000002E-2</v>
      </c>
      <c r="AS12" s="58">
        <v>-0.35549999999999998</v>
      </c>
      <c r="AT12" s="58">
        <v>-6.2300000000000001E-2</v>
      </c>
      <c r="AU12" s="58">
        <v>-0.19539999999999999</v>
      </c>
      <c r="AV12" s="58">
        <v>-0.33529999999999999</v>
      </c>
      <c r="AW12" s="58">
        <v>0</v>
      </c>
      <c r="AX12" s="59">
        <v>2.1399999999999999E-2</v>
      </c>
      <c r="AY12" s="59">
        <v>4.7999999999999996E-3</v>
      </c>
      <c r="AZ12" s="59">
        <v>3.49E-2</v>
      </c>
      <c r="BA12" s="59">
        <v>-5.5599999999999997E-2</v>
      </c>
      <c r="BB12" s="59">
        <v>0.1221</v>
      </c>
      <c r="BC12" s="59">
        <v>0.37319999999999998</v>
      </c>
      <c r="BD12" s="59">
        <v>0</v>
      </c>
    </row>
    <row r="13" spans="1:56" ht="15.75" thickBot="1" x14ac:dyDescent="0.3"/>
    <row r="14" spans="1:56" x14ac:dyDescent="0.25">
      <c r="A14" s="51"/>
      <c r="B14" s="76"/>
      <c r="C14" s="76" t="s">
        <v>166</v>
      </c>
      <c r="D14" s="76" t="s">
        <v>168</v>
      </c>
      <c r="E14" s="76" t="s">
        <v>167</v>
      </c>
      <c r="F14" s="76"/>
      <c r="G14" s="76"/>
      <c r="H14" s="76"/>
      <c r="I14" s="76"/>
      <c r="J14" s="76" t="s">
        <v>166</v>
      </c>
      <c r="K14" s="76" t="s">
        <v>168</v>
      </c>
      <c r="L14" s="76" t="s">
        <v>167</v>
      </c>
      <c r="M14" s="76"/>
      <c r="N14" s="76"/>
      <c r="O14" s="76"/>
      <c r="P14" s="76"/>
      <c r="Q14" s="76" t="s">
        <v>166</v>
      </c>
      <c r="R14" s="76" t="s">
        <v>168</v>
      </c>
      <c r="S14" s="76" t="s">
        <v>167</v>
      </c>
      <c r="T14" s="76"/>
      <c r="U14" s="76"/>
      <c r="V14" s="76"/>
      <c r="W14" s="76"/>
      <c r="X14" s="76" t="s">
        <v>166</v>
      </c>
      <c r="Y14" s="76" t="s">
        <v>168</v>
      </c>
      <c r="Z14" s="76" t="s">
        <v>167</v>
      </c>
      <c r="AA14" s="76"/>
      <c r="AB14" s="76"/>
      <c r="AC14" s="76"/>
      <c r="AD14" s="76"/>
      <c r="AE14" s="76" t="s">
        <v>166</v>
      </c>
      <c r="AF14" s="76" t="s">
        <v>168</v>
      </c>
      <c r="AG14" s="76" t="s">
        <v>167</v>
      </c>
      <c r="AH14" s="76"/>
      <c r="AI14" s="76"/>
      <c r="AJ14" s="76"/>
      <c r="AK14" s="76"/>
      <c r="AL14" s="76" t="s">
        <v>166</v>
      </c>
      <c r="AM14" s="76" t="s">
        <v>168</v>
      </c>
      <c r="AN14" s="76" t="s">
        <v>167</v>
      </c>
      <c r="AO14" s="76"/>
      <c r="AP14" s="76"/>
      <c r="AQ14" s="76"/>
      <c r="AR14" s="76"/>
      <c r="AS14" s="76" t="s">
        <v>166</v>
      </c>
      <c r="AT14" s="76" t="s">
        <v>168</v>
      </c>
      <c r="AU14" s="76" t="s">
        <v>167</v>
      </c>
      <c r="AV14" s="76"/>
      <c r="AW14" s="76"/>
      <c r="AX14" s="76"/>
      <c r="AY14" s="76"/>
      <c r="AZ14" s="76" t="s">
        <v>166</v>
      </c>
      <c r="BA14" s="76" t="s">
        <v>168</v>
      </c>
      <c r="BB14" s="76" t="s">
        <v>167</v>
      </c>
      <c r="BC14" s="76"/>
      <c r="BD14" s="77"/>
    </row>
    <row r="15" spans="1:56" ht="15.75" thickBot="1" x14ac:dyDescent="0.3">
      <c r="A15" s="15"/>
      <c r="B15" s="16"/>
      <c r="C15" s="16">
        <v>-0.95000000000000007</v>
      </c>
      <c r="D15" s="16">
        <v>-0.62249999999999983</v>
      </c>
      <c r="E15" s="16">
        <v>0.57110000000000005</v>
      </c>
      <c r="F15" s="16"/>
      <c r="G15" s="16"/>
      <c r="H15" s="16"/>
      <c r="I15" s="16"/>
      <c r="J15" s="16">
        <v>-0.94000000000000017</v>
      </c>
      <c r="K15" s="16">
        <v>-0.21760000000000007</v>
      </c>
      <c r="L15" s="16">
        <v>0.75750000000000006</v>
      </c>
      <c r="M15" s="16"/>
      <c r="N15" s="16"/>
      <c r="O15" s="16"/>
      <c r="P15" s="16"/>
      <c r="Q15" s="16">
        <v>-0.21760000000000007</v>
      </c>
      <c r="R15" s="16">
        <v>0.21500000000000008</v>
      </c>
      <c r="S15" s="16">
        <v>0.57110000000000005</v>
      </c>
      <c r="T15" s="16"/>
      <c r="U15" s="16"/>
      <c r="V15" s="16"/>
      <c r="W15" s="16"/>
      <c r="X15" s="16">
        <v>-0.91000000000000014</v>
      </c>
      <c r="Y15" s="16">
        <v>-0.21760000000000007</v>
      </c>
      <c r="Z15" s="16">
        <v>0.57110000000000005</v>
      </c>
      <c r="AA15" s="16"/>
      <c r="AB15" s="16"/>
      <c r="AC15" s="16"/>
      <c r="AD15" s="16"/>
      <c r="AE15" s="16">
        <v>-0.21760000000000007</v>
      </c>
      <c r="AF15" s="16">
        <v>0.57110000000000005</v>
      </c>
      <c r="AG15" s="16">
        <v>0.97750000000000004</v>
      </c>
      <c r="AH15" s="16"/>
      <c r="AI15" s="16"/>
      <c r="AJ15" s="16"/>
      <c r="AK15" s="16"/>
      <c r="AL15" s="16">
        <v>-0.62249999999999983</v>
      </c>
      <c r="AM15" s="16">
        <v>0.21500000000000008</v>
      </c>
      <c r="AN15" s="16">
        <v>0.75750000000000006</v>
      </c>
      <c r="AO15" s="16"/>
      <c r="AP15" s="16"/>
      <c r="AQ15" s="16"/>
      <c r="AR15" s="16"/>
      <c r="AS15" s="16">
        <v>-0.62249999999999983</v>
      </c>
      <c r="AT15" s="16">
        <v>0.21500000000000008</v>
      </c>
      <c r="AU15" s="16">
        <v>0.97750000000000004</v>
      </c>
      <c r="AV15" s="16"/>
      <c r="AW15" s="16"/>
      <c r="AX15" s="16"/>
      <c r="AY15" s="16"/>
      <c r="AZ15" s="16">
        <v>-1.0024999999999999</v>
      </c>
      <c r="BA15" s="16">
        <v>-0.21760000000000007</v>
      </c>
      <c r="BB15" s="16">
        <v>0.75750000000000006</v>
      </c>
      <c r="BC15" s="16"/>
      <c r="BD15" s="17"/>
    </row>
    <row r="19" spans="1:56" x14ac:dyDescent="0.25">
      <c r="A19" s="89" t="s">
        <v>190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</row>
    <row r="20" spans="1:56" x14ac:dyDescent="0.25">
      <c r="A20" s="11">
        <v>1</v>
      </c>
      <c r="B20" s="11">
        <v>2</v>
      </c>
      <c r="C20" s="11">
        <v>3</v>
      </c>
      <c r="D20" s="11">
        <v>4</v>
      </c>
      <c r="E20" s="11">
        <v>5</v>
      </c>
      <c r="F20" s="11">
        <v>6</v>
      </c>
      <c r="G20" s="11">
        <v>7</v>
      </c>
      <c r="H20" s="11">
        <v>1</v>
      </c>
      <c r="I20" s="11">
        <v>2</v>
      </c>
      <c r="J20" s="11">
        <v>3</v>
      </c>
      <c r="K20" s="11">
        <v>4</v>
      </c>
      <c r="L20" s="11">
        <v>5</v>
      </c>
      <c r="M20" s="11">
        <v>6</v>
      </c>
      <c r="N20" s="11">
        <v>7</v>
      </c>
      <c r="O20" s="11">
        <v>1</v>
      </c>
      <c r="P20" s="11">
        <v>2</v>
      </c>
      <c r="Q20" s="11">
        <v>3</v>
      </c>
      <c r="R20" s="11">
        <v>4</v>
      </c>
      <c r="S20" s="11">
        <v>5</v>
      </c>
      <c r="T20" s="11">
        <v>6</v>
      </c>
      <c r="U20" s="11">
        <v>7</v>
      </c>
      <c r="V20" s="11">
        <v>1</v>
      </c>
      <c r="W20" s="11">
        <v>2</v>
      </c>
      <c r="X20" s="11">
        <v>3</v>
      </c>
      <c r="Y20" s="11">
        <v>4</v>
      </c>
      <c r="Z20" s="11">
        <v>5</v>
      </c>
      <c r="AA20" s="11">
        <v>6</v>
      </c>
      <c r="AB20" s="11">
        <v>7</v>
      </c>
      <c r="AC20" s="11">
        <v>1</v>
      </c>
      <c r="AD20" s="11">
        <v>2</v>
      </c>
      <c r="AE20" s="11">
        <v>3</v>
      </c>
      <c r="AF20" s="11">
        <v>4</v>
      </c>
      <c r="AG20" s="11">
        <v>5</v>
      </c>
      <c r="AH20" s="11">
        <v>6</v>
      </c>
      <c r="AI20" s="11">
        <v>7</v>
      </c>
      <c r="AJ20" s="11">
        <v>1</v>
      </c>
      <c r="AK20" s="11">
        <v>2</v>
      </c>
      <c r="AL20" s="11">
        <v>3</v>
      </c>
      <c r="AM20" s="11">
        <v>4</v>
      </c>
      <c r="AN20" s="11">
        <v>5</v>
      </c>
      <c r="AO20" s="11">
        <v>6</v>
      </c>
      <c r="AP20" s="11">
        <v>7</v>
      </c>
      <c r="AQ20" s="11">
        <v>1</v>
      </c>
      <c r="AR20" s="11">
        <v>2</v>
      </c>
      <c r="AS20" s="11">
        <v>3</v>
      </c>
      <c r="AT20" s="11">
        <v>4</v>
      </c>
      <c r="AU20" s="11">
        <v>5</v>
      </c>
      <c r="AV20" s="11">
        <v>6</v>
      </c>
      <c r="AW20" s="11">
        <v>7</v>
      </c>
      <c r="AX20" s="11">
        <v>1</v>
      </c>
      <c r="AY20" s="11">
        <v>2</v>
      </c>
      <c r="AZ20" s="11">
        <v>3</v>
      </c>
      <c r="BA20" s="11">
        <v>4</v>
      </c>
      <c r="BB20" s="11">
        <v>5</v>
      </c>
      <c r="BC20" s="11">
        <v>6</v>
      </c>
      <c r="BD20" s="11">
        <v>7</v>
      </c>
    </row>
    <row r="21" spans="1:56" x14ac:dyDescent="0.25">
      <c r="A21" s="113" t="s">
        <v>196</v>
      </c>
      <c r="B21" s="113"/>
      <c r="C21" s="113"/>
      <c r="D21" s="113"/>
      <c r="E21" s="113"/>
      <c r="F21" s="113"/>
      <c r="G21" s="113"/>
      <c r="H21" s="113" t="s">
        <v>197</v>
      </c>
      <c r="I21" s="113"/>
      <c r="J21" s="113"/>
      <c r="K21" s="113"/>
      <c r="L21" s="113"/>
      <c r="M21" s="113"/>
      <c r="N21" s="113"/>
      <c r="O21" s="113" t="s">
        <v>198</v>
      </c>
      <c r="P21" s="113"/>
      <c r="Q21" s="113"/>
      <c r="R21" s="113"/>
      <c r="S21" s="113"/>
      <c r="T21" s="113"/>
      <c r="U21" s="113"/>
      <c r="V21" s="113" t="s">
        <v>199</v>
      </c>
      <c r="W21" s="113"/>
      <c r="X21" s="113"/>
      <c r="Y21" s="113"/>
      <c r="Z21" s="113"/>
      <c r="AA21" s="113"/>
      <c r="AB21" s="113"/>
      <c r="AC21" s="113" t="s">
        <v>200</v>
      </c>
      <c r="AD21" s="113"/>
      <c r="AE21" s="113"/>
      <c r="AF21" s="113"/>
      <c r="AG21" s="113"/>
      <c r="AH21" s="113"/>
      <c r="AI21" s="113"/>
      <c r="AJ21" s="113" t="s">
        <v>201</v>
      </c>
      <c r="AK21" s="113"/>
      <c r="AL21" s="113"/>
      <c r="AM21" s="113"/>
      <c r="AN21" s="113"/>
      <c r="AO21" s="113"/>
      <c r="AP21" s="113"/>
      <c r="AQ21" s="113" t="s">
        <v>202</v>
      </c>
      <c r="AR21" s="113"/>
      <c r="AS21" s="113"/>
      <c r="AT21" s="113"/>
      <c r="AU21" s="113"/>
      <c r="AV21" s="113"/>
      <c r="AW21" s="113"/>
      <c r="AX21" s="113" t="s">
        <v>203</v>
      </c>
      <c r="AY21" s="113"/>
      <c r="AZ21" s="113"/>
      <c r="BA21" s="113"/>
      <c r="BB21" s="113"/>
      <c r="BC21" s="113"/>
      <c r="BD21" s="113"/>
    </row>
    <row r="22" spans="1:56" x14ac:dyDescent="0.25">
      <c r="A22" s="58">
        <f>IF(A6&gt;=$E$15,"1",IF(A6&lt;=$D$15,"0",(A6-$D$15)/($E$15-$D$15)))</f>
        <v>0.52153150134048243</v>
      </c>
      <c r="B22" s="58">
        <f>IF(B6&gt;=$E$15,"1",IF(B6&lt;=$D$15,"0",(B6-$D$15)/($E$15-$D$15)))</f>
        <v>0.40189343163538854</v>
      </c>
      <c r="C22" s="58">
        <f t="shared" ref="C22:G22" si="0">IF(C6&gt;=$E$15,"1",IF(C6&lt;=$D$15,"0",(C6-$D$15)/($E$15-$D$15)))</f>
        <v>0.43942694369973179</v>
      </c>
      <c r="D22" s="58" t="str">
        <f t="shared" si="0"/>
        <v>1</v>
      </c>
      <c r="E22" s="58">
        <f t="shared" si="0"/>
        <v>0.17216823056300257</v>
      </c>
      <c r="F22" s="58">
        <f>IF(F6&gt;=$E$15,"1",IF(F6&lt;=$D$15,"0",(F6-$D$15)/($E$15-$D$15)))</f>
        <v>0.89075067024128662</v>
      </c>
      <c r="G22" s="58">
        <f t="shared" si="0"/>
        <v>8.5371983914209013E-2</v>
      </c>
      <c r="H22" s="59">
        <f>IF(H6&gt;=$L$15,"1",IF(H6&lt;=$K$15,"0",(H6-$K$15)/($L$15-$K$15)))</f>
        <v>0.22315659932314641</v>
      </c>
      <c r="I22" s="59">
        <f t="shared" ref="I22:N22" si="1">IF(I6&gt;=$L$15,"1",IF(I6&lt;=$K$15,"0",(I6-$K$15)/($L$15-$K$15)))</f>
        <v>0.2475643523741155</v>
      </c>
      <c r="J22" s="59" t="str">
        <f t="shared" si="1"/>
        <v>0</v>
      </c>
      <c r="K22" s="59">
        <f t="shared" si="1"/>
        <v>0.88031996718285299</v>
      </c>
      <c r="L22" s="59">
        <f t="shared" si="1"/>
        <v>0.15741975182032619</v>
      </c>
      <c r="M22" s="59">
        <f t="shared" si="1"/>
        <v>0.40754794380063591</v>
      </c>
      <c r="N22" s="59" t="str">
        <f t="shared" si="1"/>
        <v>0</v>
      </c>
      <c r="O22" s="58" t="str">
        <f>IF(O6&gt;=$S$15,"1",IF(O6&lt;=$R$15,"0",(O6-$R$15)/($S$15-$R$15)))</f>
        <v>0</v>
      </c>
      <c r="P22" s="58" t="str">
        <f t="shared" ref="P22:U22" si="2">IF(P6&gt;=$S$15,"1",IF(P6&lt;=$R$15,"0",(P6-$R$15)/($S$15-$R$15)))</f>
        <v>0</v>
      </c>
      <c r="Q22" s="58" t="str">
        <f t="shared" si="2"/>
        <v>0</v>
      </c>
      <c r="R22" s="58" t="str">
        <f t="shared" si="2"/>
        <v>0</v>
      </c>
      <c r="S22" s="58" t="str">
        <f t="shared" si="2"/>
        <v>0</v>
      </c>
      <c r="T22" s="58" t="str">
        <f t="shared" si="2"/>
        <v>0</v>
      </c>
      <c r="U22" s="58" t="str">
        <f t="shared" si="2"/>
        <v>0</v>
      </c>
      <c r="V22" s="59">
        <f>IF(V6&gt;=$Z$15,"1",IF(V6&lt;=$Y$15,"0",(V6-$Y$15)/($Z$15-$Y$15)))</f>
        <v>0.2758970457715228</v>
      </c>
      <c r="W22" s="59">
        <f t="shared" ref="W22:AB22" si="3">IF(W6&gt;=$Z$15,"1",IF(W6&lt;=$Y$15,"0",(W6-$Y$15)/($Z$15-$Y$15)))</f>
        <v>0.45568657284138453</v>
      </c>
      <c r="X22" s="59">
        <f t="shared" si="3"/>
        <v>6.2761506276150708E-2</v>
      </c>
      <c r="Y22" s="59" t="str">
        <f t="shared" si="3"/>
        <v>1</v>
      </c>
      <c r="Z22" s="59" t="str">
        <f t="shared" si="3"/>
        <v>0</v>
      </c>
      <c r="AA22" s="59">
        <f t="shared" si="3"/>
        <v>3.1063775833650401E-2</v>
      </c>
      <c r="AB22" s="59" t="str">
        <f t="shared" si="3"/>
        <v>0</v>
      </c>
      <c r="AC22" s="58" t="str">
        <f>IF(AC6&gt;=$AG$15,"1",IF(AC6&lt;=$AF$15,"0",(AC6-$AF$15)/($AG$15-$AF$15)))</f>
        <v>0</v>
      </c>
      <c r="AD22" s="58" t="str">
        <f t="shared" ref="AD22:AI22" si="4">IF(AD6&gt;=$AG$15,"1",IF(AD6&lt;=$AF$15,"0",(AD6-$AF$15)/($AG$15-$AF$15)))</f>
        <v>0</v>
      </c>
      <c r="AE22" s="58" t="str">
        <f t="shared" si="4"/>
        <v>0</v>
      </c>
      <c r="AF22" s="58" t="str">
        <f t="shared" si="4"/>
        <v>0</v>
      </c>
      <c r="AG22" s="58" t="str">
        <f t="shared" si="4"/>
        <v>0</v>
      </c>
      <c r="AH22" s="58" t="str">
        <f t="shared" si="4"/>
        <v>0</v>
      </c>
      <c r="AI22" s="58" t="str">
        <f t="shared" si="4"/>
        <v>0</v>
      </c>
      <c r="AJ22" s="59" t="str">
        <f>IF(AJ6&gt;=$AN$15,"1",IF(AJ6&lt;=$AM$15,"0",(AJ6-$AM$15)/($AN$15-$AM$15)))</f>
        <v>0</v>
      </c>
      <c r="AK22" s="59" t="str">
        <f t="shared" ref="AK22:AP22" si="5">IF(AK6&gt;=$AN$15,"1",IF(AK6&lt;=$AM$15,"0",(AK6-$AM$15)/($AN$15-$AM$15)))</f>
        <v>0</v>
      </c>
      <c r="AL22" s="59" t="str">
        <f t="shared" si="5"/>
        <v>0</v>
      </c>
      <c r="AM22" s="59">
        <f t="shared" si="5"/>
        <v>0.61345622119815646</v>
      </c>
      <c r="AN22" s="59" t="str">
        <f t="shared" si="5"/>
        <v>0</v>
      </c>
      <c r="AO22" s="59">
        <f t="shared" si="5"/>
        <v>0.36903225806451601</v>
      </c>
      <c r="AP22" s="59" t="str">
        <f t="shared" si="5"/>
        <v>0</v>
      </c>
      <c r="AQ22" s="58" t="str">
        <f>IF(AQ6&gt;=$AU$15,"1",IF(AQ6&lt;=$AT$15,"0",(AQ6-$AT$15)/($AU$15-$AT$15)))</f>
        <v>0</v>
      </c>
      <c r="AR22" s="58">
        <f t="shared" ref="AR22:AW22" si="6">IF(AR6&gt;=$AU$15,"1",IF(AR6&lt;=$AT$15,"0",(AR6-$AT$15)/($AU$15-$AT$15)))</f>
        <v>0.23488524590163926</v>
      </c>
      <c r="AS22" s="58" t="str">
        <f t="shared" si="6"/>
        <v>0</v>
      </c>
      <c r="AT22" s="58">
        <f t="shared" si="6"/>
        <v>0.19645901639344254</v>
      </c>
      <c r="AU22" s="58">
        <f t="shared" si="6"/>
        <v>2.1901639344262178E-2</v>
      </c>
      <c r="AV22" s="58" t="str">
        <f t="shared" si="6"/>
        <v>0</v>
      </c>
      <c r="AW22" s="58">
        <f t="shared" si="6"/>
        <v>0.27816393442622939</v>
      </c>
      <c r="AX22" s="59">
        <f>IF(AX6&gt;=$BB$15,"1",IF(AX6&lt;=$BA$15,"0",(AX6-$BA$15)/($BB$15-$BA$15)))</f>
        <v>0.22315659932314641</v>
      </c>
      <c r="AY22" s="59">
        <f t="shared" ref="AY22:BD22" si="7">IF(AY6&gt;=$BB$15,"1",IF(AY6&lt;=$BA$15,"0",(AY6-$BA$15)/($BB$15-$BA$15)))</f>
        <v>0.20613270433801667</v>
      </c>
      <c r="AZ22" s="59">
        <f t="shared" si="7"/>
        <v>0.23700133319659528</v>
      </c>
      <c r="BA22" s="59">
        <f t="shared" si="7"/>
        <v>0.1441903394523639</v>
      </c>
      <c r="BB22" s="59">
        <f t="shared" si="7"/>
        <v>0.32642805866065022</v>
      </c>
      <c r="BC22" s="59">
        <f t="shared" si="7"/>
        <v>0.58394010870679935</v>
      </c>
      <c r="BD22" s="59">
        <f t="shared" si="7"/>
        <v>0.20121013229412374</v>
      </c>
    </row>
    <row r="23" spans="1:56" x14ac:dyDescent="0.25">
      <c r="A23" s="58">
        <f t="shared" ref="A23:G23" si="8">IF(A7&gt;=$E$15,"1",IF(A7&lt;=$D$15,"0",(A7-$D$15)/($E$15-$D$15)))</f>
        <v>0.64116957104557626</v>
      </c>
      <c r="B23" s="58">
        <f t="shared" si="8"/>
        <v>0.52153150134048243</v>
      </c>
      <c r="C23" s="58">
        <f t="shared" si="8"/>
        <v>0.55906501340482551</v>
      </c>
      <c r="D23" s="58" t="str">
        <f t="shared" si="8"/>
        <v>1</v>
      </c>
      <c r="E23" s="58">
        <f>IF(E7&gt;=$E$15,"1",IF(E7&lt;=$D$15,"0",(E7-$D$15)/($E$15-$D$15)))</f>
        <v>0.2918063002680964</v>
      </c>
      <c r="F23" s="58" t="str">
        <f t="shared" si="8"/>
        <v>1</v>
      </c>
      <c r="G23" s="58">
        <f t="shared" si="8"/>
        <v>0.2050100536193028</v>
      </c>
      <c r="H23" s="59">
        <f t="shared" ref="H23:N23" si="9">IF(H7&gt;=$L$15,"1",IF(H7&lt;=$K$15,"0",(H7-$K$15)/($L$15-$K$15)))</f>
        <v>0.19874884627217729</v>
      </c>
      <c r="I23" s="59">
        <f>IF(I7&gt;=$L$15,"1",IF(I7&lt;=$K$15,"0",(I7-$K$15)/($L$15-$K$15)))</f>
        <v>0.22315659932314641</v>
      </c>
      <c r="J23" s="59" t="str">
        <f t="shared" si="9"/>
        <v>0</v>
      </c>
      <c r="K23" s="59">
        <f t="shared" si="9"/>
        <v>0.8559122141318839</v>
      </c>
      <c r="L23" s="59">
        <f t="shared" si="9"/>
        <v>0.13301199876935704</v>
      </c>
      <c r="M23" s="59">
        <f t="shared" si="9"/>
        <v>0.38314019074966671</v>
      </c>
      <c r="N23" s="59" t="str">
        <f t="shared" si="9"/>
        <v>0</v>
      </c>
      <c r="O23" s="58">
        <f t="shared" ref="O23:U23" si="10">IF(O7&gt;=$S$15,"1",IF(O7&lt;=$R$15,"0",(O7-$R$15)/($S$15-$R$15)))</f>
        <v>0.40381915192361678</v>
      </c>
      <c r="P23" s="58" t="str">
        <f t="shared" si="10"/>
        <v>0</v>
      </c>
      <c r="Q23" s="58" t="str">
        <f t="shared" si="10"/>
        <v>0</v>
      </c>
      <c r="R23" s="58" t="str">
        <f t="shared" si="10"/>
        <v>0</v>
      </c>
      <c r="S23" s="58" t="str">
        <f t="shared" si="10"/>
        <v>0</v>
      </c>
      <c r="T23" s="58" t="str">
        <f t="shared" si="10"/>
        <v>0</v>
      </c>
      <c r="U23" s="58">
        <f t="shared" si="10"/>
        <v>0.32827857343442823</v>
      </c>
      <c r="V23" s="59">
        <f t="shared" ref="V23:AB23" si="11">IF(V7&gt;=$Z$15,"1",IF(V7&lt;=$Y$15,"0",(V7-$Y$15)/($Z$15-$Y$15)))</f>
        <v>9.6107518701661024E-2</v>
      </c>
      <c r="W23" s="59">
        <f t="shared" si="11"/>
        <v>0.2758970457715228</v>
      </c>
      <c r="X23" s="59" t="str">
        <f t="shared" si="11"/>
        <v>0</v>
      </c>
      <c r="Y23" s="59" t="str">
        <f t="shared" si="11"/>
        <v>1</v>
      </c>
      <c r="Z23" s="59" t="str">
        <f t="shared" si="11"/>
        <v>0</v>
      </c>
      <c r="AA23" s="59" t="str">
        <f t="shared" si="11"/>
        <v>0</v>
      </c>
      <c r="AB23" s="59" t="str">
        <f t="shared" si="11"/>
        <v>0</v>
      </c>
      <c r="AC23" s="58" t="str">
        <f t="shared" ref="AC23:AI23" si="12">IF(AC7&gt;=$AG$15,"1",IF(AC7&lt;=$AF$15,"0",(AC7-$AF$15)/($AG$15-$AF$15)))</f>
        <v>0</v>
      </c>
      <c r="AD23" s="58" t="str">
        <f t="shared" si="12"/>
        <v>0</v>
      </c>
      <c r="AE23" s="58" t="str">
        <f t="shared" si="12"/>
        <v>0</v>
      </c>
      <c r="AF23" s="58" t="str">
        <f t="shared" si="12"/>
        <v>0</v>
      </c>
      <c r="AG23" s="58" t="str">
        <f t="shared" si="12"/>
        <v>0</v>
      </c>
      <c r="AH23" s="58" t="str">
        <f t="shared" si="12"/>
        <v>0</v>
      </c>
      <c r="AI23" s="58" t="str">
        <f t="shared" si="12"/>
        <v>0</v>
      </c>
      <c r="AJ23" s="59" t="str">
        <f t="shared" ref="AJ23:AP23" si="13">IF(AJ7&gt;=$AN$15,"1",IF(AJ7&lt;=$AM$15,"0",(AJ7-$AM$15)/($AN$15-$AM$15)))</f>
        <v>0</v>
      </c>
      <c r="AK23" s="59" t="str">
        <f t="shared" si="13"/>
        <v>0</v>
      </c>
      <c r="AL23" s="59" t="str">
        <f t="shared" si="13"/>
        <v>0</v>
      </c>
      <c r="AM23" s="59">
        <f t="shared" si="13"/>
        <v>0.33032258064516112</v>
      </c>
      <c r="AN23" s="59" t="str">
        <f t="shared" si="13"/>
        <v>0</v>
      </c>
      <c r="AO23" s="59">
        <f t="shared" si="13"/>
        <v>8.5898617511520586E-2</v>
      </c>
      <c r="AP23" s="59" t="str">
        <f t="shared" si="13"/>
        <v>0</v>
      </c>
      <c r="AQ23" s="58" t="str">
        <f t="shared" ref="AQ23:AW23" si="14">IF(AQ7&gt;=$AU$15,"1",IF(AQ7&lt;=$AT$15,"0",(AQ7-$AT$15)/($AU$15-$AT$15)))</f>
        <v>0</v>
      </c>
      <c r="AR23" s="58" t="str">
        <f t="shared" si="14"/>
        <v>0</v>
      </c>
      <c r="AS23" s="58" t="str">
        <f t="shared" si="14"/>
        <v>0</v>
      </c>
      <c r="AT23" s="58" t="str">
        <f t="shared" si="14"/>
        <v>0</v>
      </c>
      <c r="AU23" s="58" t="str">
        <f t="shared" si="14"/>
        <v>0</v>
      </c>
      <c r="AV23" s="58" t="str">
        <f t="shared" si="14"/>
        <v>0</v>
      </c>
      <c r="AW23" s="58" t="str">
        <f t="shared" si="14"/>
        <v>0</v>
      </c>
      <c r="AX23" s="59">
        <f t="shared" ref="AX23:BD23" si="15">IF(AX7&gt;=$BB$15,"1",IF(AX7&lt;=$BA$15,"0",(AX7-$BA$15)/($BB$15-$BA$15)))</f>
        <v>0.24018049430827612</v>
      </c>
      <c r="AY23" s="59">
        <f t="shared" si="15"/>
        <v>0.22315659932314641</v>
      </c>
      <c r="AZ23" s="59">
        <f t="shared" si="15"/>
        <v>0.25402522818172502</v>
      </c>
      <c r="BA23" s="59">
        <f t="shared" si="15"/>
        <v>0.16121423443749364</v>
      </c>
      <c r="BB23" s="59">
        <f t="shared" si="15"/>
        <v>0.34345195364577996</v>
      </c>
      <c r="BC23" s="59">
        <f t="shared" si="15"/>
        <v>0.60096400369192904</v>
      </c>
      <c r="BD23" s="59">
        <f t="shared" si="15"/>
        <v>0.21823402727925348</v>
      </c>
    </row>
    <row r="24" spans="1:56" x14ac:dyDescent="0.25">
      <c r="A24" s="58">
        <f t="shared" ref="A24:G24" si="16">IF(A8&gt;=$E$15,"1",IF(A8&lt;=$D$15,"0",(A8-$D$15)/($E$15-$D$15)))</f>
        <v>0.60363605898123307</v>
      </c>
      <c r="B24" s="58">
        <f t="shared" si="16"/>
        <v>0.4839979892761393</v>
      </c>
      <c r="C24" s="58">
        <f t="shared" si="16"/>
        <v>0.52153150134048243</v>
      </c>
      <c r="D24" s="58" t="str">
        <f t="shared" si="16"/>
        <v>1</v>
      </c>
      <c r="E24" s="58">
        <f>IF(E8&gt;=$E$15,"1",IF(E8&lt;=$D$15,"0",(E8-$D$15)/($E$15-$D$15)))</f>
        <v>0.25427278820375321</v>
      </c>
      <c r="F24" s="58">
        <f t="shared" si="16"/>
        <v>0.97285522788203738</v>
      </c>
      <c r="G24" s="58">
        <f t="shared" si="16"/>
        <v>0.16747654155495967</v>
      </c>
      <c r="H24" s="59">
        <f t="shared" ref="H24:N24" si="17">IF(H8&gt;=$L$15,"1",IF(H8&lt;=$K$15,"0",(H8-$K$15)/($L$15-$K$15)))</f>
        <v>0.57419751820326126</v>
      </c>
      <c r="I24" s="59">
        <f t="shared" si="17"/>
        <v>0.59860527125423035</v>
      </c>
      <c r="J24" s="59">
        <f t="shared" si="17"/>
        <v>0.22315659932314641</v>
      </c>
      <c r="K24" s="59" t="str">
        <f t="shared" si="17"/>
        <v>1</v>
      </c>
      <c r="L24" s="59">
        <f t="shared" si="17"/>
        <v>0.50846067070044099</v>
      </c>
      <c r="M24" s="59">
        <f t="shared" si="17"/>
        <v>0.75858886268075065</v>
      </c>
      <c r="N24" s="59">
        <f t="shared" si="17"/>
        <v>1.1383447851502493E-2</v>
      </c>
      <c r="O24" s="58">
        <f t="shared" ref="O24:U24" si="18">IF(O8&gt;=$S$15,"1",IF(O8&lt;=$R$15,"0",(O8-$R$15)/($S$15-$R$15)))</f>
        <v>0.30075821398483549</v>
      </c>
      <c r="P24" s="58" t="str">
        <f t="shared" si="18"/>
        <v>0</v>
      </c>
      <c r="Q24" s="58" t="str">
        <f t="shared" si="18"/>
        <v>0</v>
      </c>
      <c r="R24" s="58" t="str">
        <f t="shared" si="18"/>
        <v>0</v>
      </c>
      <c r="S24" s="58" t="str">
        <f t="shared" si="18"/>
        <v>0</v>
      </c>
      <c r="T24" s="58" t="str">
        <f t="shared" si="18"/>
        <v>0</v>
      </c>
      <c r="U24" s="58">
        <f t="shared" si="18"/>
        <v>0.22521763549564713</v>
      </c>
      <c r="V24" s="59">
        <f t="shared" ref="V24:AB24" si="19">IF(V8&gt;=$Z$15,"1",IF(V8&lt;=$Y$15,"0",(V8-$Y$15)/($Z$15-$Y$15)))</f>
        <v>0.48903258526689486</v>
      </c>
      <c r="W24" s="59">
        <f t="shared" si="19"/>
        <v>0.66882211233675659</v>
      </c>
      <c r="X24" s="59">
        <f t="shared" si="19"/>
        <v>0.2758970457715228</v>
      </c>
      <c r="Y24" s="59" t="str">
        <f t="shared" si="19"/>
        <v>1</v>
      </c>
      <c r="Z24" s="59" t="str">
        <f t="shared" si="19"/>
        <v>0</v>
      </c>
      <c r="AA24" s="59">
        <f t="shared" si="19"/>
        <v>0.24419931532902248</v>
      </c>
      <c r="AB24" s="59">
        <f t="shared" si="19"/>
        <v>0.11157601115760118</v>
      </c>
      <c r="AC24" s="58" t="str">
        <f t="shared" ref="AC24:AI24" si="20">IF(AC8&gt;=$AG$15,"1",IF(AC8&lt;=$AF$15,"0",(AC8-$AF$15)/($AG$15-$AF$15)))</f>
        <v>0</v>
      </c>
      <c r="AD24" s="58" t="str">
        <f t="shared" si="20"/>
        <v>0</v>
      </c>
      <c r="AE24" s="58" t="str">
        <f t="shared" si="20"/>
        <v>0</v>
      </c>
      <c r="AF24" s="58" t="str">
        <f t="shared" si="20"/>
        <v>0</v>
      </c>
      <c r="AG24" s="58" t="str">
        <f t="shared" si="20"/>
        <v>0</v>
      </c>
      <c r="AH24" s="58" t="str">
        <f t="shared" si="20"/>
        <v>0</v>
      </c>
      <c r="AI24" s="58" t="str">
        <f t="shared" si="20"/>
        <v>0</v>
      </c>
      <c r="AJ24" s="59" t="str">
        <f t="shared" ref="AJ24:AP24" si="21">IF(AJ8&gt;=$AN$15,"1",IF(AJ8&lt;=$AM$15,"0",(AJ8-$AM$15)/($AN$15-$AM$15)))</f>
        <v>0</v>
      </c>
      <c r="AK24" s="59" t="str">
        <f t="shared" si="21"/>
        <v>0</v>
      </c>
      <c r="AL24" s="59" t="str">
        <f t="shared" si="21"/>
        <v>0</v>
      </c>
      <c r="AM24" s="59">
        <f t="shared" si="21"/>
        <v>0.36811059907834093</v>
      </c>
      <c r="AN24" s="59" t="str">
        <f t="shared" si="21"/>
        <v>0</v>
      </c>
      <c r="AO24" s="59">
        <f t="shared" si="21"/>
        <v>0.12368663594470035</v>
      </c>
      <c r="AP24" s="59" t="str">
        <f t="shared" si="21"/>
        <v>0</v>
      </c>
      <c r="AQ24" s="58" t="str">
        <f t="shared" ref="AQ24:AW24" si="22">IF(AQ8&gt;=$AU$15,"1",IF(AQ8&lt;=$AT$15,"0",(AQ8-$AT$15)/($AU$15-$AT$15)))</f>
        <v>0</v>
      </c>
      <c r="AR24" s="58">
        <f t="shared" si="22"/>
        <v>0.14098360655737696</v>
      </c>
      <c r="AS24" s="58" t="str">
        <f t="shared" si="22"/>
        <v>0</v>
      </c>
      <c r="AT24" s="58">
        <f t="shared" si="22"/>
        <v>0.10255737704918025</v>
      </c>
      <c r="AU24" s="58" t="str">
        <f t="shared" si="22"/>
        <v>0</v>
      </c>
      <c r="AV24" s="58" t="str">
        <f t="shared" si="22"/>
        <v>0</v>
      </c>
      <c r="AW24" s="58">
        <f t="shared" si="22"/>
        <v>0.18426229508196709</v>
      </c>
      <c r="AX24" s="59">
        <f t="shared" ref="AX24:BD24" si="23">IF(AX8&gt;=$BB$15,"1",IF(AX8&lt;=$BA$15,"0",(AX8-$BA$15)/($BB$15-$BA$15)))</f>
        <v>0.20931186544969752</v>
      </c>
      <c r="AY24" s="59">
        <f t="shared" si="23"/>
        <v>0.1922879704645678</v>
      </c>
      <c r="AZ24" s="59">
        <f t="shared" si="23"/>
        <v>0.22315659932314641</v>
      </c>
      <c r="BA24" s="59">
        <f t="shared" si="23"/>
        <v>0.13034560557891506</v>
      </c>
      <c r="BB24" s="59">
        <f t="shared" si="23"/>
        <v>0.31258332478720136</v>
      </c>
      <c r="BC24" s="59">
        <f t="shared" si="23"/>
        <v>0.57009537483335049</v>
      </c>
      <c r="BD24" s="59">
        <f t="shared" si="23"/>
        <v>0.18736539842067487</v>
      </c>
    </row>
    <row r="25" spans="1:56" x14ac:dyDescent="0.25">
      <c r="A25" s="58" t="str">
        <f t="shared" ref="A25:F25" si="24">IF(A9&gt;=$E$15,"1",IF(A9&lt;=$D$15,"0",(A9-$D$15)/($E$15-$D$15)))</f>
        <v>0</v>
      </c>
      <c r="B25" s="58" t="str">
        <f t="shared" si="24"/>
        <v>0</v>
      </c>
      <c r="C25" s="58" t="str">
        <f t="shared" si="24"/>
        <v>0</v>
      </c>
      <c r="D25" s="58">
        <f t="shared" si="24"/>
        <v>0.52153150134048243</v>
      </c>
      <c r="E25" s="58" t="str">
        <f t="shared" si="24"/>
        <v>0</v>
      </c>
      <c r="F25" s="58">
        <f t="shared" si="24"/>
        <v>0.30646782841823045</v>
      </c>
      <c r="G25" s="58" t="str">
        <f>IF(G9&gt;=$E$15,"1",IF(G9&lt;=$D$15,"0",(G9-$D$15)/($E$15-$D$15)))</f>
        <v>0</v>
      </c>
      <c r="H25" s="59" t="str">
        <f t="shared" ref="H25:M25" si="25">IF(H9&gt;=$L$15,"1",IF(H9&lt;=$K$15,"0",(H9-$K$15)/($L$15-$K$15)))</f>
        <v>0</v>
      </c>
      <c r="I25" s="59" t="str">
        <f>IF(I9&gt;=$L$15,"1",IF(I9&lt;=$K$15,"0",(I9-$K$15)/($L$15-$K$15)))</f>
        <v>0</v>
      </c>
      <c r="J25" s="59" t="str">
        <f>IF(J9&gt;=$L$15,"1",IF(J9&lt;=$K$15,"0",(J9-$K$15)/($L$15-$K$15)))</f>
        <v>0</v>
      </c>
      <c r="K25" s="59">
        <f>IF(K9&gt;=$L$15,"1",IF(K9&lt;=$K$15,"0",(K9-$K$15)/($L$15-$K$15)))</f>
        <v>0.22315659932314641</v>
      </c>
      <c r="L25" s="59" t="str">
        <f t="shared" si="25"/>
        <v>0</v>
      </c>
      <c r="M25" s="59" t="str">
        <f t="shared" si="25"/>
        <v>0</v>
      </c>
      <c r="N25" s="59" t="str">
        <f>IF(N9&gt;=$L$15,"1",IF(N9&lt;=$K$15,"0",(N9-$K$15)/($L$15-$K$15)))</f>
        <v>0</v>
      </c>
      <c r="O25" s="58">
        <f t="shared" ref="O25:U25" si="26">IF(O9&gt;=$S$15,"1",IF(O9&lt;=$R$15,"0",(O9-$R$15)/($S$15-$R$15)))</f>
        <v>0.51783206964335837</v>
      </c>
      <c r="P25" s="58" t="str">
        <f t="shared" si="26"/>
        <v>0</v>
      </c>
      <c r="Q25" s="58" t="str">
        <f t="shared" si="26"/>
        <v>0</v>
      </c>
      <c r="R25" s="58" t="str">
        <f t="shared" si="26"/>
        <v>0</v>
      </c>
      <c r="S25" s="58" t="str">
        <f t="shared" si="26"/>
        <v>0</v>
      </c>
      <c r="T25" s="58" t="str">
        <f t="shared" si="26"/>
        <v>0</v>
      </c>
      <c r="U25" s="58">
        <f t="shared" si="26"/>
        <v>0.44229149115416999</v>
      </c>
      <c r="V25" s="59" t="str">
        <f t="shared" ref="V25:AB25" si="27">IF(V9&gt;=$Z$15,"1",IF(V9&lt;=$Y$15,"0",(V9-$Y$15)/($Z$15-$Y$15)))</f>
        <v>0</v>
      </c>
      <c r="W25" s="59" t="str">
        <f t="shared" si="27"/>
        <v>0</v>
      </c>
      <c r="X25" s="59" t="str">
        <f t="shared" si="27"/>
        <v>0</v>
      </c>
      <c r="Y25" s="59">
        <f t="shared" si="27"/>
        <v>0.2758970457715228</v>
      </c>
      <c r="Z25" s="59" t="str">
        <f t="shared" si="27"/>
        <v>0</v>
      </c>
      <c r="AA25" s="59" t="str">
        <f t="shared" si="27"/>
        <v>0</v>
      </c>
      <c r="AB25" s="59" t="str">
        <f t="shared" si="27"/>
        <v>0</v>
      </c>
      <c r="AC25" s="58">
        <f t="shared" ref="AC25:AI25" si="28">IF(AC9&gt;=$AG$15,"1",IF(AC9&lt;=$AF$15,"0",(AC9-$AF$15)/($AG$15-$AF$15)))</f>
        <v>0.36318897637795267</v>
      </c>
      <c r="AD25" s="58">
        <f t="shared" si="28"/>
        <v>1.8700787401574655E-2</v>
      </c>
      <c r="AE25" s="58" t="str">
        <f t="shared" si="28"/>
        <v>0</v>
      </c>
      <c r="AF25" s="58" t="str">
        <f t="shared" si="28"/>
        <v>0</v>
      </c>
      <c r="AG25" s="58" t="str">
        <f t="shared" si="28"/>
        <v>0</v>
      </c>
      <c r="AH25" s="58" t="str">
        <f t="shared" si="28"/>
        <v>0</v>
      </c>
      <c r="AI25" s="58" t="str">
        <f t="shared" si="28"/>
        <v>0</v>
      </c>
      <c r="AJ25" s="59" t="str">
        <f t="shared" ref="AJ25:AP25" si="29">IF(AJ9&gt;=$AN$15,"1",IF(AJ9&lt;=$AM$15,"0",(AJ9-$AM$15)/($AN$15-$AM$15)))</f>
        <v>0</v>
      </c>
      <c r="AK25" s="59" t="str">
        <f t="shared" si="29"/>
        <v>0</v>
      </c>
      <c r="AL25" s="59" t="str">
        <f t="shared" si="29"/>
        <v>0</v>
      </c>
      <c r="AM25" s="59" t="str">
        <f t="shared" si="29"/>
        <v>0</v>
      </c>
      <c r="AN25" s="59" t="str">
        <f t="shared" si="29"/>
        <v>0</v>
      </c>
      <c r="AO25" s="59" t="str">
        <f t="shared" si="29"/>
        <v>0</v>
      </c>
      <c r="AP25" s="59" t="str">
        <f t="shared" si="29"/>
        <v>0</v>
      </c>
      <c r="AQ25" s="58" t="str">
        <f t="shared" ref="AQ25:AW25" si="30">IF(AQ9&gt;=$AU$15,"1",IF(AQ9&lt;=$AT$15,"0",(AQ9-$AT$15)/($AU$15-$AT$15)))</f>
        <v>0</v>
      </c>
      <c r="AR25" s="58" t="str">
        <f t="shared" si="30"/>
        <v>0</v>
      </c>
      <c r="AS25" s="58" t="str">
        <f t="shared" si="30"/>
        <v>0</v>
      </c>
      <c r="AT25" s="58" t="str">
        <f t="shared" si="30"/>
        <v>0</v>
      </c>
      <c r="AU25" s="58" t="str">
        <f t="shared" si="30"/>
        <v>0</v>
      </c>
      <c r="AV25" s="58" t="str">
        <f t="shared" si="30"/>
        <v>0</v>
      </c>
      <c r="AW25" s="58" t="str">
        <f t="shared" si="30"/>
        <v>0</v>
      </c>
      <c r="AX25" s="59">
        <f t="shared" ref="AX25:BD25" si="31">IF(AX9&gt;=$BB$15,"1",IF(AX9&lt;=$BA$15,"0",(AX9-$BA$15)/($BB$15-$BA$15)))</f>
        <v>0.30212285919392889</v>
      </c>
      <c r="AY25" s="59">
        <f t="shared" si="31"/>
        <v>0.28509896420879915</v>
      </c>
      <c r="AZ25" s="59">
        <f t="shared" si="31"/>
        <v>0.31596759306737771</v>
      </c>
      <c r="BA25" s="59">
        <f t="shared" si="31"/>
        <v>0.22315659932314641</v>
      </c>
      <c r="BB25" s="59">
        <f t="shared" si="31"/>
        <v>0.40539431853143276</v>
      </c>
      <c r="BC25" s="59">
        <f t="shared" si="31"/>
        <v>0.66290636857758178</v>
      </c>
      <c r="BD25" s="59">
        <f t="shared" si="31"/>
        <v>0.2801763921649062</v>
      </c>
    </row>
    <row r="26" spans="1:56" x14ac:dyDescent="0.25">
      <c r="A26" s="58">
        <f t="shared" ref="A26:G26" si="32">IF(A10&gt;=$E$15,"1",IF(A10&lt;=$D$15,"0",(A10-$D$15)/($E$15-$D$15)))</f>
        <v>0.8708947721179624</v>
      </c>
      <c r="B26" s="58">
        <f t="shared" si="32"/>
        <v>0.75125670241286846</v>
      </c>
      <c r="C26" s="58">
        <f t="shared" si="32"/>
        <v>0.78879021447721165</v>
      </c>
      <c r="D26" s="58" t="str">
        <f t="shared" si="32"/>
        <v>1</v>
      </c>
      <c r="E26" s="58">
        <f t="shared" si="32"/>
        <v>0.52153150134048243</v>
      </c>
      <c r="F26" s="58" t="str">
        <f t="shared" si="32"/>
        <v>1</v>
      </c>
      <c r="G26" s="58">
        <f t="shared" si="32"/>
        <v>0.43473525469168883</v>
      </c>
      <c r="H26" s="59">
        <f t="shared" ref="H26:N26" si="33">IF(H10&gt;=$L$15,"1",IF(H10&lt;=$K$15,"0",(H10-$K$15)/($L$15-$K$15)))</f>
        <v>0.28889344682596663</v>
      </c>
      <c r="I26" s="59">
        <f t="shared" si="33"/>
        <v>0.31330119987693578</v>
      </c>
      <c r="J26" s="59" t="str">
        <f>IF(J10&gt;=$L$15,"1",IF(J10&lt;=$K$15,"0",(J10-$K$15)/($L$15-$K$15)))</f>
        <v>0</v>
      </c>
      <c r="K26" s="59">
        <f>IF(K10&gt;=$L$15,"1",IF(K10&lt;=$K$15,"0",(K10-$K$15)/($L$15-$K$15)))</f>
        <v>0.94605681468567326</v>
      </c>
      <c r="L26" s="59">
        <f t="shared" si="33"/>
        <v>0.22315659932314641</v>
      </c>
      <c r="M26" s="59">
        <f>IF(M10&gt;=$L$15,"1",IF(M10&lt;=$K$15,"0",(M10-$K$15)/($L$15-$K$15)))</f>
        <v>0.47328479130345608</v>
      </c>
      <c r="N26" s="59" t="str">
        <f t="shared" si="33"/>
        <v>0</v>
      </c>
      <c r="O26" s="58">
        <f>IF(O10&gt;=$S$15,"1",IF(O10&lt;=$R$15,"0",(O10-$R$15)/($S$15-$R$15)))</f>
        <v>0.41926425161471481</v>
      </c>
      <c r="P26" s="58" t="str">
        <f t="shared" ref="P26:U26" si="34">IF(P10&gt;=$S$15,"1",IF(P10&lt;=$R$15,"0",(P10-$R$15)/($S$15-$R$15)))</f>
        <v>0</v>
      </c>
      <c r="Q26" s="58" t="str">
        <f t="shared" si="34"/>
        <v>0</v>
      </c>
      <c r="R26" s="58" t="str">
        <f t="shared" si="34"/>
        <v>0</v>
      </c>
      <c r="S26" s="58" t="str">
        <f t="shared" si="34"/>
        <v>0</v>
      </c>
      <c r="T26" s="58" t="str">
        <f t="shared" si="34"/>
        <v>0</v>
      </c>
      <c r="U26" s="58">
        <f t="shared" si="34"/>
        <v>0.34372367312552626</v>
      </c>
      <c r="V26" s="59">
        <f t="shared" ref="V26:AB26" si="35">IF(V10&gt;=$Z$15,"1",IF(V10&lt;=$Y$15,"0",(V10-$Y$15)/($Z$15-$Y$15)))</f>
        <v>0.77025484975275771</v>
      </c>
      <c r="W26" s="59">
        <f t="shared" si="35"/>
        <v>0.95004437682261933</v>
      </c>
      <c r="X26" s="59">
        <f t="shared" si="35"/>
        <v>0.55711931025738548</v>
      </c>
      <c r="Y26" s="59" t="str">
        <f t="shared" si="35"/>
        <v>1</v>
      </c>
      <c r="Z26" s="59">
        <f t="shared" si="35"/>
        <v>0.2758970457715228</v>
      </c>
      <c r="AA26" s="59">
        <f t="shared" si="35"/>
        <v>0.52542157981488524</v>
      </c>
      <c r="AB26" s="59">
        <f t="shared" si="35"/>
        <v>0.39279827564346392</v>
      </c>
      <c r="AC26" s="58" t="str">
        <f t="shared" ref="AC26:AH26" si="36">IF(AC10&gt;=$AG$15,"1",IF(AC10&lt;=$AF$15,"0",(AC10-$AF$15)/($AG$15-$AF$15)))</f>
        <v>0</v>
      </c>
      <c r="AD26" s="58" t="str">
        <f t="shared" si="36"/>
        <v>0</v>
      </c>
      <c r="AE26" s="58" t="str">
        <f t="shared" si="36"/>
        <v>0</v>
      </c>
      <c r="AF26" s="58" t="str">
        <f t="shared" si="36"/>
        <v>0</v>
      </c>
      <c r="AG26" s="58" t="str">
        <f t="shared" si="36"/>
        <v>0</v>
      </c>
      <c r="AH26" s="58" t="str">
        <f t="shared" si="36"/>
        <v>0</v>
      </c>
      <c r="AI26" s="58" t="str">
        <f>IF(AI10&gt;=$AG$15,"1",IF(AI10&lt;=$AF$15,"0",(AI10-$AF$15)/($AG$15-$AF$15)))</f>
        <v>0</v>
      </c>
      <c r="AJ26" s="59" t="str">
        <f t="shared" ref="AJ26:AP26" si="37">IF(AJ10&gt;=$AN$15,"1",IF(AJ10&lt;=$AM$15,"0",(AJ10-$AM$15)/($AN$15-$AM$15)))</f>
        <v>0</v>
      </c>
      <c r="AK26" s="59">
        <f t="shared" si="37"/>
        <v>0.11907834101382476</v>
      </c>
      <c r="AL26" s="59">
        <f t="shared" si="37"/>
        <v>8.1290322580645016E-2</v>
      </c>
      <c r="AM26" s="59">
        <f t="shared" si="37"/>
        <v>0.84571428571428553</v>
      </c>
      <c r="AN26" s="59" t="str">
        <f t="shared" si="37"/>
        <v>0</v>
      </c>
      <c r="AO26" s="59">
        <f>IF(AO10&gt;=$AN$15,"1",IF(AO10&lt;=$AM$15,"0",(AO10-$AM$15)/($AN$15-$AM$15)))</f>
        <v>0.60129032258064508</v>
      </c>
      <c r="AP26" s="59">
        <f t="shared" si="37"/>
        <v>2.3963133640552865E-2</v>
      </c>
      <c r="AQ26" s="58" t="str">
        <f t="shared" ref="AQ26:AW26" si="38">IF(AQ10&gt;=$AU$15,"1",IF(AQ10&lt;=$AT$15,"0",(AQ10-$AT$15)/($AU$15-$AT$15)))</f>
        <v>0</v>
      </c>
      <c r="AR26" s="58" t="str">
        <f t="shared" si="38"/>
        <v>0</v>
      </c>
      <c r="AS26" s="58" t="str">
        <f t="shared" si="38"/>
        <v>0</v>
      </c>
      <c r="AT26" s="58" t="str">
        <f t="shared" si="38"/>
        <v>0</v>
      </c>
      <c r="AU26" s="58" t="str">
        <f t="shared" si="38"/>
        <v>0</v>
      </c>
      <c r="AV26" s="58" t="str">
        <f t="shared" si="38"/>
        <v>0</v>
      </c>
      <c r="AW26" s="58" t="str">
        <f t="shared" si="38"/>
        <v>0</v>
      </c>
      <c r="AX26" s="59">
        <f t="shared" ref="AX26:BD26" si="39">IF(AX10&gt;=$BB$15,"1",IF(AX10&lt;=$BA$15,"0",(AX10-$BA$15)/($BB$15-$BA$15)))</f>
        <v>0.11988513998564257</v>
      </c>
      <c r="AY26" s="59">
        <f t="shared" si="39"/>
        <v>0.10286124500051283</v>
      </c>
      <c r="AZ26" s="59">
        <f t="shared" si="39"/>
        <v>0.13372987385909144</v>
      </c>
      <c r="BA26" s="59">
        <f t="shared" si="39"/>
        <v>4.0918880114860084E-2</v>
      </c>
      <c r="BB26" s="59">
        <f t="shared" si="39"/>
        <v>0.22315659932314641</v>
      </c>
      <c r="BC26" s="59">
        <f t="shared" si="39"/>
        <v>0.48066864936929549</v>
      </c>
      <c r="BD26" s="59">
        <f t="shared" si="39"/>
        <v>9.7938672956619899E-2</v>
      </c>
    </row>
    <row r="27" spans="1:56" x14ac:dyDescent="0.25">
      <c r="A27" s="58">
        <f t="shared" ref="A27:G27" si="40">IF(A11&gt;=$E$15,"1",IF(A11&lt;=$D$15,"0",(A11-$D$15)/($E$15-$D$15)))</f>
        <v>0.15231233243967815</v>
      </c>
      <c r="B27" s="58">
        <f t="shared" si="40"/>
        <v>3.2674262734584292E-2</v>
      </c>
      <c r="C27" s="58">
        <f t="shared" si="40"/>
        <v>7.0207774798927508E-2</v>
      </c>
      <c r="D27" s="58">
        <f t="shared" si="40"/>
        <v>0.73659517426273435</v>
      </c>
      <c r="E27" s="58" t="str">
        <f t="shared" si="40"/>
        <v>0</v>
      </c>
      <c r="F27" s="58">
        <f t="shared" si="40"/>
        <v>0.52153150134048243</v>
      </c>
      <c r="G27" s="58" t="str">
        <f t="shared" si="40"/>
        <v>0</v>
      </c>
      <c r="H27" s="59">
        <f t="shared" ref="H27:N27" si="41">IF(H11&gt;=$L$15,"1",IF(H11&lt;=$K$15,"0",(H11-$K$15)/($L$15-$K$15)))</f>
        <v>3.8765254845656939E-2</v>
      </c>
      <c r="I27" s="59">
        <f t="shared" si="41"/>
        <v>6.3173007896626054E-2</v>
      </c>
      <c r="J27" s="59" t="str">
        <f t="shared" si="41"/>
        <v>0</v>
      </c>
      <c r="K27" s="59">
        <f t="shared" si="41"/>
        <v>0.6959286227053636</v>
      </c>
      <c r="L27" s="59" t="str">
        <f t="shared" si="41"/>
        <v>0</v>
      </c>
      <c r="M27" s="59">
        <f t="shared" si="41"/>
        <v>0.22315659932314641</v>
      </c>
      <c r="N27" s="59" t="str">
        <f t="shared" si="41"/>
        <v>0</v>
      </c>
      <c r="O27" s="58">
        <f t="shared" ref="O27:T27" si="42">IF(O11&gt;=$S$15,"1",IF(O11&lt;=$R$15,"0",(O11-$R$15)/($S$15-$R$15)))</f>
        <v>0.30216231395675353</v>
      </c>
      <c r="P27" s="58" t="str">
        <f t="shared" si="42"/>
        <v>0</v>
      </c>
      <c r="Q27" s="58" t="str">
        <f t="shared" si="42"/>
        <v>0</v>
      </c>
      <c r="R27" s="58" t="str">
        <f t="shared" si="42"/>
        <v>0</v>
      </c>
      <c r="S27" s="58" t="str">
        <f t="shared" si="42"/>
        <v>0</v>
      </c>
      <c r="T27" s="58" t="str">
        <f t="shared" si="42"/>
        <v>0</v>
      </c>
      <c r="U27" s="58">
        <f>IF(U11&gt;=$S$15,"1",IF(U11&lt;=$R$15,"0",(U11-$R$15)/($S$15-$R$15)))</f>
        <v>0.22662173546756514</v>
      </c>
      <c r="V27" s="59">
        <f t="shared" ref="V27:AB27" si="43">IF(V11&gt;=$Z$15,"1",IF(V11&lt;=$Y$15,"0",(V11-$Y$15)/($Z$15-$Y$15)))</f>
        <v>0.52073031570939521</v>
      </c>
      <c r="W27" s="59">
        <f t="shared" si="43"/>
        <v>0.70051984277925683</v>
      </c>
      <c r="X27" s="59">
        <f t="shared" si="43"/>
        <v>0.30759477621402309</v>
      </c>
      <c r="Y27" s="59" t="str">
        <f t="shared" si="43"/>
        <v>1</v>
      </c>
      <c r="Z27" s="59">
        <f t="shared" si="43"/>
        <v>2.6372511728160346E-2</v>
      </c>
      <c r="AA27" s="59">
        <f>IF(AA11&gt;=$Z$15,"1",IF(AA11&lt;=$Y$15,"0",(AA11-$Y$15)/($Z$15-$Y$15)))</f>
        <v>0.2758970457715228</v>
      </c>
      <c r="AB27" s="59">
        <f t="shared" si="43"/>
        <v>0.14327374160010148</v>
      </c>
      <c r="AC27" s="58">
        <f t="shared" ref="AC27:AI27" si="44">IF(AC11&gt;=$AG$15,"1",IF(AC11&lt;=$AF$15,"0",(AC11-$AF$15)/($AG$15-$AF$15)))</f>
        <v>0.20792322834645649</v>
      </c>
      <c r="AD27" s="58" t="str">
        <f>IF(AD11&gt;=$AG$15,"1",IF(AD11&lt;=$AF$15,"0",(AD11-$AF$15)/($AG$15-$AF$15)))</f>
        <v>0</v>
      </c>
      <c r="AE27" s="58" t="str">
        <f t="shared" si="44"/>
        <v>0</v>
      </c>
      <c r="AF27" s="58" t="str">
        <f t="shared" si="44"/>
        <v>0</v>
      </c>
      <c r="AG27" s="58" t="str">
        <f t="shared" si="44"/>
        <v>0</v>
      </c>
      <c r="AH27" s="58" t="str">
        <f t="shared" si="44"/>
        <v>0</v>
      </c>
      <c r="AI27" s="58" t="str">
        <f t="shared" si="44"/>
        <v>0</v>
      </c>
      <c r="AJ27" s="59" t="str">
        <f t="shared" ref="AJ27:AP27" si="45">IF(AJ11&gt;=$AN$15,"1",IF(AJ11&lt;=$AM$15,"0",(AJ11-$AM$15)/($AN$15-$AM$15)))</f>
        <v>0</v>
      </c>
      <c r="AK27" s="59" t="str">
        <f t="shared" si="45"/>
        <v>0</v>
      </c>
      <c r="AL27" s="59" t="str">
        <f t="shared" si="45"/>
        <v>0</v>
      </c>
      <c r="AM27" s="59" t="str">
        <f t="shared" si="45"/>
        <v>0</v>
      </c>
      <c r="AN27" s="59" t="str">
        <f t="shared" si="45"/>
        <v>0</v>
      </c>
      <c r="AO27" s="59" t="str">
        <f t="shared" si="45"/>
        <v>0</v>
      </c>
      <c r="AP27" s="59" t="str">
        <f t="shared" si="45"/>
        <v>0</v>
      </c>
      <c r="AQ27" s="58" t="str">
        <f t="shared" ref="AQ27:AW27" si="46">IF(AQ11&gt;=$AU$15,"1",IF(AQ11&lt;=$AT$15,"0",(AQ11-$AT$15)/($AU$15-$AT$15)))</f>
        <v>0</v>
      </c>
      <c r="AR27" s="58">
        <f>IF(AR11&gt;=$AU$15,"1",IF(AR11&lt;=$AT$15,"0",(AR11-$AT$15)/($AU$15-$AT$15)))</f>
        <v>0.11449180327868845</v>
      </c>
      <c r="AS27" s="58" t="str">
        <f t="shared" si="46"/>
        <v>0</v>
      </c>
      <c r="AT27" s="58">
        <f t="shared" si="46"/>
        <v>7.6065573770491723E-2</v>
      </c>
      <c r="AU27" s="58" t="str">
        <f t="shared" si="46"/>
        <v>0</v>
      </c>
      <c r="AV27" s="58" t="str">
        <f t="shared" si="46"/>
        <v>0</v>
      </c>
      <c r="AW27" s="58">
        <f t="shared" si="46"/>
        <v>0.15777049180327857</v>
      </c>
      <c r="AX27" s="59" t="str">
        <f t="shared" ref="AX27:BD27" si="47">IF(AX11&gt;=$BB$15,"1",IF(AX11&lt;=$BA$15,"0",(AX11-$BA$15)/($BB$15-$BA$15)))</f>
        <v>0</v>
      </c>
      <c r="AY27" s="59" t="str">
        <f t="shared" si="47"/>
        <v>0</v>
      </c>
      <c r="AZ27" s="59" t="str">
        <f t="shared" si="47"/>
        <v>0</v>
      </c>
      <c r="BA27" s="59" t="str">
        <f t="shared" si="47"/>
        <v>0</v>
      </c>
      <c r="BB27" s="59" t="str">
        <f t="shared" si="47"/>
        <v>0</v>
      </c>
      <c r="BC27" s="59">
        <f t="shared" si="47"/>
        <v>0.22315659932314641</v>
      </c>
      <c r="BD27" s="59" t="str">
        <f t="shared" si="47"/>
        <v>0</v>
      </c>
    </row>
    <row r="28" spans="1:56" x14ac:dyDescent="0.25">
      <c r="A28" s="58">
        <f t="shared" ref="A28:F28" si="48">IF(A12&gt;=$E$15,"1",IF(A12&lt;=$D$15,"0",(A12-$D$15)/($E$15-$D$15)))</f>
        <v>0.95769101876675589</v>
      </c>
      <c r="B28" s="58">
        <f t="shared" si="48"/>
        <v>0.83805294906166194</v>
      </c>
      <c r="C28" s="58">
        <f t="shared" si="48"/>
        <v>0.87558646112600513</v>
      </c>
      <c r="D28" s="58" t="str">
        <f t="shared" si="48"/>
        <v>1</v>
      </c>
      <c r="E28" s="58">
        <f t="shared" si="48"/>
        <v>0.60832774798927602</v>
      </c>
      <c r="F28" s="58" t="str">
        <f t="shared" si="48"/>
        <v>1</v>
      </c>
      <c r="G28" s="58">
        <f>IF(G12&gt;=$E$15,"1",IF(G12&lt;=$D$15,"0",(G12-$D$15)/($E$15-$D$15)))</f>
        <v>0.52153150134048243</v>
      </c>
      <c r="H28" s="59">
        <f t="shared" ref="H28:M28" si="49">IF(H12&gt;=$L$15,"1",IF(H12&lt;=$K$15,"0",(H12-$K$15)/($L$15-$K$15)))</f>
        <v>0.78597066967490503</v>
      </c>
      <c r="I28" s="59">
        <f t="shared" si="49"/>
        <v>0.81037842272587424</v>
      </c>
      <c r="J28" s="59">
        <f t="shared" si="49"/>
        <v>0.43492975079479029</v>
      </c>
      <c r="K28" s="59" t="str">
        <f t="shared" si="49"/>
        <v>1</v>
      </c>
      <c r="L28" s="59">
        <f t="shared" si="49"/>
        <v>0.72023382217208498</v>
      </c>
      <c r="M28" s="59">
        <f t="shared" si="49"/>
        <v>0.97036201415239476</v>
      </c>
      <c r="N28" s="59">
        <f>IF(N12&gt;=$L$15,"1",IF(N12&lt;=$K$15,"0",(N12-$K$15)/($L$15-$K$15)))</f>
        <v>0.22315659932314641</v>
      </c>
      <c r="O28" s="58" t="str">
        <f t="shared" ref="O28:T28" si="50">IF(O12&gt;=$S$15,"1",IF(O12&lt;=$R$15,"0",(O12-$R$15)/($S$15-$R$15)))</f>
        <v>0</v>
      </c>
      <c r="P28" s="58" t="str">
        <f t="shared" si="50"/>
        <v>0</v>
      </c>
      <c r="Q28" s="58" t="str">
        <f t="shared" si="50"/>
        <v>0</v>
      </c>
      <c r="R28" s="58" t="str">
        <f t="shared" si="50"/>
        <v>0</v>
      </c>
      <c r="S28" s="58" t="str">
        <f t="shared" si="50"/>
        <v>0</v>
      </c>
      <c r="T28" s="58" t="str">
        <f t="shared" si="50"/>
        <v>0</v>
      </c>
      <c r="U28" s="58" t="str">
        <f>IF(U12&gt;=$S$15,"1",IF(U12&lt;=$R$15,"0",(U12-$R$15)/($S$15-$R$15)))</f>
        <v>0</v>
      </c>
      <c r="V28" s="59">
        <f t="shared" ref="V28:AA28" si="51">IF(V12&gt;=$Z$15,"1",IF(V12&lt;=$Y$15,"0",(V12-$Y$15)/($Z$15-$Y$15)))</f>
        <v>0.65335361988081653</v>
      </c>
      <c r="W28" s="59">
        <f t="shared" si="51"/>
        <v>0.83314314695067815</v>
      </c>
      <c r="X28" s="59">
        <f t="shared" si="51"/>
        <v>0.44021808038544441</v>
      </c>
      <c r="Y28" s="59" t="str">
        <f t="shared" si="51"/>
        <v>1</v>
      </c>
      <c r="Z28" s="59">
        <f t="shared" si="51"/>
        <v>0.15899581589958164</v>
      </c>
      <c r="AA28" s="59">
        <f t="shared" si="51"/>
        <v>0.40852034994294406</v>
      </c>
      <c r="AB28" s="59">
        <f>IF(AB12&gt;=$Z$15,"1",IF(AB12&lt;=$Y$15,"0",(AB12-$Y$15)/($Z$15-$Y$15)))</f>
        <v>0.2758970457715228</v>
      </c>
      <c r="AC28" s="58">
        <f t="shared" ref="AC28:AI28" si="52">IF(AC12&gt;=$AG$15,"1",IF(AC12&lt;=$AF$15,"0",(AC12-$AF$15)/($AG$15-$AF$15)))</f>
        <v>0.31126968503936997</v>
      </c>
      <c r="AD28" s="58" t="str">
        <f t="shared" si="52"/>
        <v>0</v>
      </c>
      <c r="AE28" s="58" t="str">
        <f t="shared" si="52"/>
        <v>0</v>
      </c>
      <c r="AF28" s="58" t="str">
        <f t="shared" si="52"/>
        <v>0</v>
      </c>
      <c r="AG28" s="58" t="str">
        <f t="shared" si="52"/>
        <v>0</v>
      </c>
      <c r="AH28" s="58" t="str">
        <f t="shared" si="52"/>
        <v>0</v>
      </c>
      <c r="AI28" s="58" t="str">
        <f t="shared" si="52"/>
        <v>0</v>
      </c>
      <c r="AJ28" s="59" t="str">
        <f t="shared" ref="AJ28:AP28" si="53">IF(AJ12&gt;=$AN$15,"1",IF(AJ12&lt;=$AM$15,"0",(AJ12-$AM$15)/($AN$15-$AM$15)))</f>
        <v>0</v>
      </c>
      <c r="AK28" s="59" t="str">
        <f t="shared" si="53"/>
        <v>0</v>
      </c>
      <c r="AL28" s="59" t="str">
        <f t="shared" si="53"/>
        <v>0</v>
      </c>
      <c r="AM28" s="59">
        <f t="shared" si="53"/>
        <v>0.42543778801843302</v>
      </c>
      <c r="AN28" s="59" t="str">
        <f t="shared" si="53"/>
        <v>0</v>
      </c>
      <c r="AO28" s="59">
        <f t="shared" si="53"/>
        <v>0.18101382488479245</v>
      </c>
      <c r="AP28" s="59" t="str">
        <f t="shared" si="53"/>
        <v>0</v>
      </c>
      <c r="AQ28" s="58" t="str">
        <f t="shared" ref="AQ28:AV28" si="54">IF(AQ12&gt;=$AU$15,"1",IF(AQ12&lt;=$AT$15,"0",(AQ12-$AT$15)/($AU$15-$AT$15)))</f>
        <v>0</v>
      </c>
      <c r="AR28" s="58" t="str">
        <f t="shared" si="54"/>
        <v>0</v>
      </c>
      <c r="AS28" s="58" t="str">
        <f t="shared" si="54"/>
        <v>0</v>
      </c>
      <c r="AT28" s="58" t="str">
        <f t="shared" si="54"/>
        <v>0</v>
      </c>
      <c r="AU28" s="58" t="str">
        <f t="shared" si="54"/>
        <v>0</v>
      </c>
      <c r="AV28" s="58" t="str">
        <f t="shared" si="54"/>
        <v>0</v>
      </c>
      <c r="AW28" s="58" t="str">
        <f>IF(AW12&gt;=$AU$15,"1",IF(AW12&lt;=$AT$15,"0",(AW12-$AT$15)/($AU$15-$AT$15)))</f>
        <v>0</v>
      </c>
      <c r="AX28" s="59">
        <f t="shared" ref="AX28:BC28" si="55">IF(AX12&gt;=$BB$15,"1",IF(AX12&lt;=$BA$15,"0",(AX12-$BA$15)/($BB$15-$BA$15)))</f>
        <v>0.24510306635216905</v>
      </c>
      <c r="AY28" s="59">
        <f t="shared" si="55"/>
        <v>0.22807917136703934</v>
      </c>
      <c r="AZ28" s="59">
        <f t="shared" si="55"/>
        <v>0.25894780022561792</v>
      </c>
      <c r="BA28" s="59">
        <f>IF(BA12&gt;=$BB$15,"1",IF(BA12&lt;=$BA$15,"0",(BA12-$BA$15)/($BB$15-$BA$15)))</f>
        <v>0.1661368064813866</v>
      </c>
      <c r="BB28" s="59">
        <f t="shared" si="55"/>
        <v>0.34837452568967286</v>
      </c>
      <c r="BC28" s="59">
        <f t="shared" si="55"/>
        <v>0.60588657573582194</v>
      </c>
      <c r="BD28" s="59">
        <f>IF(BD12&gt;=$BB$15,"1",IF(BD12&lt;=$BA$15,"0",(BD12-$BA$15)/($BB$15-$BA$15)))</f>
        <v>0.22315659932314641</v>
      </c>
    </row>
    <row r="31" spans="1:56" x14ac:dyDescent="0.25">
      <c r="A31" s="89" t="s">
        <v>191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</row>
    <row r="32" spans="1:56" x14ac:dyDescent="0.25">
      <c r="A32" s="11">
        <v>1</v>
      </c>
      <c r="B32" s="11">
        <v>2</v>
      </c>
      <c r="C32" s="11">
        <v>3</v>
      </c>
      <c r="D32" s="11">
        <v>4</v>
      </c>
      <c r="E32" s="11">
        <v>5</v>
      </c>
      <c r="F32" s="11">
        <v>6</v>
      </c>
      <c r="G32" s="11">
        <v>7</v>
      </c>
      <c r="H32" s="11">
        <v>1</v>
      </c>
      <c r="I32" s="11">
        <v>2</v>
      </c>
      <c r="J32" s="11">
        <v>3</v>
      </c>
      <c r="K32" s="11">
        <v>4</v>
      </c>
      <c r="L32" s="11">
        <v>5</v>
      </c>
      <c r="M32" s="11">
        <v>6</v>
      </c>
      <c r="N32" s="11">
        <v>7</v>
      </c>
      <c r="O32" s="11">
        <v>1</v>
      </c>
      <c r="P32" s="11">
        <v>2</v>
      </c>
      <c r="Q32" s="11">
        <v>3</v>
      </c>
      <c r="R32" s="11">
        <v>4</v>
      </c>
      <c r="S32" s="11">
        <v>5</v>
      </c>
      <c r="T32" s="11">
        <v>6</v>
      </c>
      <c r="U32" s="11">
        <v>7</v>
      </c>
      <c r="V32" s="11">
        <v>1</v>
      </c>
      <c r="W32" s="11">
        <v>2</v>
      </c>
      <c r="X32" s="11">
        <v>3</v>
      </c>
      <c r="Y32" s="11">
        <v>4</v>
      </c>
      <c r="Z32" s="11">
        <v>5</v>
      </c>
      <c r="AA32" s="11">
        <v>6</v>
      </c>
      <c r="AB32" s="11">
        <v>7</v>
      </c>
      <c r="AC32" s="11">
        <v>1</v>
      </c>
      <c r="AD32" s="11">
        <v>2</v>
      </c>
      <c r="AE32" s="11">
        <v>3</v>
      </c>
      <c r="AF32" s="11">
        <v>4</v>
      </c>
      <c r="AG32" s="11">
        <v>5</v>
      </c>
      <c r="AH32" s="11">
        <v>6</v>
      </c>
      <c r="AI32" s="11">
        <v>7</v>
      </c>
      <c r="AJ32" s="11">
        <v>1</v>
      </c>
      <c r="AK32" s="11">
        <v>2</v>
      </c>
      <c r="AL32" s="11">
        <v>3</v>
      </c>
      <c r="AM32" s="11">
        <v>4</v>
      </c>
      <c r="AN32" s="11">
        <v>5</v>
      </c>
      <c r="AO32" s="11">
        <v>6</v>
      </c>
      <c r="AP32" s="11">
        <v>7</v>
      </c>
      <c r="AQ32" s="11">
        <v>1</v>
      </c>
      <c r="AR32" s="11">
        <v>2</v>
      </c>
      <c r="AS32" s="11">
        <v>3</v>
      </c>
      <c r="AT32" s="11">
        <v>4</v>
      </c>
      <c r="AU32" s="11">
        <v>5</v>
      </c>
      <c r="AV32" s="11">
        <v>6</v>
      </c>
      <c r="AW32" s="11">
        <v>7</v>
      </c>
      <c r="AX32" s="11">
        <v>1</v>
      </c>
      <c r="AY32" s="11">
        <v>2</v>
      </c>
      <c r="AZ32" s="11">
        <v>3</v>
      </c>
      <c r="BA32" s="11">
        <v>4</v>
      </c>
      <c r="BB32" s="11">
        <v>5</v>
      </c>
      <c r="BC32" s="11">
        <v>6</v>
      </c>
      <c r="BD32" s="11">
        <v>7</v>
      </c>
    </row>
    <row r="33" spans="1:56" x14ac:dyDescent="0.25">
      <c r="A33" s="113" t="s">
        <v>196</v>
      </c>
      <c r="B33" s="113"/>
      <c r="C33" s="113"/>
      <c r="D33" s="113"/>
      <c r="E33" s="113"/>
      <c r="F33" s="113"/>
      <c r="G33" s="113"/>
      <c r="H33" s="113" t="s">
        <v>197</v>
      </c>
      <c r="I33" s="113"/>
      <c r="J33" s="113"/>
      <c r="K33" s="113"/>
      <c r="L33" s="113"/>
      <c r="M33" s="113"/>
      <c r="N33" s="113"/>
      <c r="O33" s="113" t="s">
        <v>198</v>
      </c>
      <c r="P33" s="113"/>
      <c r="Q33" s="113"/>
      <c r="R33" s="113"/>
      <c r="S33" s="113"/>
      <c r="T33" s="113"/>
      <c r="U33" s="113"/>
      <c r="V33" s="113" t="s">
        <v>199</v>
      </c>
      <c r="W33" s="113"/>
      <c r="X33" s="113"/>
      <c r="Y33" s="113"/>
      <c r="Z33" s="113"/>
      <c r="AA33" s="113"/>
      <c r="AB33" s="113"/>
      <c r="AC33" s="113" t="s">
        <v>200</v>
      </c>
      <c r="AD33" s="113"/>
      <c r="AE33" s="113"/>
      <c r="AF33" s="113"/>
      <c r="AG33" s="113"/>
      <c r="AH33" s="113"/>
      <c r="AI33" s="113"/>
      <c r="AJ33" s="113" t="s">
        <v>201</v>
      </c>
      <c r="AK33" s="113"/>
      <c r="AL33" s="113"/>
      <c r="AM33" s="113"/>
      <c r="AN33" s="113"/>
      <c r="AO33" s="113"/>
      <c r="AP33" s="113"/>
      <c r="AQ33" s="113" t="s">
        <v>202</v>
      </c>
      <c r="AR33" s="113"/>
      <c r="AS33" s="113"/>
      <c r="AT33" s="113"/>
      <c r="AU33" s="113"/>
      <c r="AV33" s="113"/>
      <c r="AW33" s="113"/>
      <c r="AX33" s="113" t="s">
        <v>203</v>
      </c>
      <c r="AY33" s="113"/>
      <c r="AZ33" s="113"/>
      <c r="BA33" s="113"/>
      <c r="BB33" s="113"/>
      <c r="BC33" s="113"/>
      <c r="BD33" s="113"/>
    </row>
    <row r="34" spans="1:56" x14ac:dyDescent="0.25">
      <c r="A34" s="58">
        <v>0.52153150134048243</v>
      </c>
      <c r="B34" s="58">
        <v>0.40189343163538854</v>
      </c>
      <c r="C34" s="58">
        <v>0.43942694369973179</v>
      </c>
      <c r="D34" s="58" t="s">
        <v>192</v>
      </c>
      <c r="E34" s="58">
        <v>0.17216823056300257</v>
      </c>
      <c r="F34" s="58">
        <v>0.89075067024128662</v>
      </c>
      <c r="G34" s="58">
        <v>8.5371983914209013E-2</v>
      </c>
      <c r="H34" s="59">
        <v>0.22315659932314641</v>
      </c>
      <c r="I34" s="59">
        <v>0.2475643523741155</v>
      </c>
      <c r="J34" s="59" t="s">
        <v>193</v>
      </c>
      <c r="K34" s="59">
        <v>0.88031996718285299</v>
      </c>
      <c r="L34" s="59">
        <v>0.15741975182032619</v>
      </c>
      <c r="M34" s="59">
        <v>0.40754794380063591</v>
      </c>
      <c r="N34" s="59" t="s">
        <v>193</v>
      </c>
      <c r="O34" s="58" t="s">
        <v>193</v>
      </c>
      <c r="P34" s="58" t="s">
        <v>193</v>
      </c>
      <c r="Q34" s="58" t="s">
        <v>193</v>
      </c>
      <c r="R34" s="58" t="s">
        <v>193</v>
      </c>
      <c r="S34" s="58" t="s">
        <v>193</v>
      </c>
      <c r="T34" s="58" t="s">
        <v>193</v>
      </c>
      <c r="U34" s="58" t="s">
        <v>193</v>
      </c>
      <c r="V34" s="59">
        <v>0.2758970457715228</v>
      </c>
      <c r="W34" s="59">
        <v>0.45568657284138453</v>
      </c>
      <c r="X34" s="59">
        <v>6.2761506276150708E-2</v>
      </c>
      <c r="Y34" s="59" t="s">
        <v>192</v>
      </c>
      <c r="Z34" s="59" t="s">
        <v>193</v>
      </c>
      <c r="AA34" s="59">
        <v>3.1063775833650401E-2</v>
      </c>
      <c r="AB34" s="59" t="s">
        <v>193</v>
      </c>
      <c r="AC34" s="58" t="s">
        <v>193</v>
      </c>
      <c r="AD34" s="58" t="s">
        <v>193</v>
      </c>
      <c r="AE34" s="58" t="s">
        <v>193</v>
      </c>
      <c r="AF34" s="58" t="s">
        <v>193</v>
      </c>
      <c r="AG34" s="58" t="s">
        <v>193</v>
      </c>
      <c r="AH34" s="58" t="s">
        <v>193</v>
      </c>
      <c r="AI34" s="58" t="s">
        <v>193</v>
      </c>
      <c r="AJ34" s="59" t="s">
        <v>193</v>
      </c>
      <c r="AK34" s="59" t="s">
        <v>193</v>
      </c>
      <c r="AL34" s="59" t="s">
        <v>193</v>
      </c>
      <c r="AM34" s="59">
        <v>0.61345622119815646</v>
      </c>
      <c r="AN34" s="59" t="s">
        <v>193</v>
      </c>
      <c r="AO34" s="59">
        <v>0.36903225806451601</v>
      </c>
      <c r="AP34" s="59" t="s">
        <v>193</v>
      </c>
      <c r="AQ34" s="58" t="s">
        <v>193</v>
      </c>
      <c r="AR34" s="58">
        <v>0.23488524590163926</v>
      </c>
      <c r="AS34" s="58" t="s">
        <v>193</v>
      </c>
      <c r="AT34" s="58">
        <v>0.19645901639344254</v>
      </c>
      <c r="AU34" s="58">
        <v>2.1901639344262178E-2</v>
      </c>
      <c r="AV34" s="58" t="s">
        <v>193</v>
      </c>
      <c r="AW34" s="58">
        <v>0.27816393442622939</v>
      </c>
      <c r="AX34" s="59">
        <v>0.22315659932314641</v>
      </c>
      <c r="AY34" s="59">
        <v>0.20613270433801667</v>
      </c>
      <c r="AZ34" s="59">
        <v>0.23700133319659528</v>
      </c>
      <c r="BA34" s="59">
        <v>0.1441903394523639</v>
      </c>
      <c r="BB34" s="59">
        <v>0.32642805866065022</v>
      </c>
      <c r="BC34" s="59">
        <v>0.58394010870679935</v>
      </c>
      <c r="BD34" s="59">
        <v>0.20121013229412374</v>
      </c>
    </row>
    <row r="35" spans="1:56" x14ac:dyDescent="0.25">
      <c r="A35" s="58">
        <v>0.64116957104557626</v>
      </c>
      <c r="B35" s="58">
        <v>0.52153150134048243</v>
      </c>
      <c r="C35" s="58">
        <v>0.55906501340482551</v>
      </c>
      <c r="D35" s="58" t="s">
        <v>192</v>
      </c>
      <c r="E35" s="58">
        <v>0.2918063002680964</v>
      </c>
      <c r="F35" s="58" t="s">
        <v>192</v>
      </c>
      <c r="G35" s="58">
        <v>0.2050100536193028</v>
      </c>
      <c r="H35" s="59">
        <v>0.19874884627217729</v>
      </c>
      <c r="I35" s="59">
        <v>0.22315659932314641</v>
      </c>
      <c r="J35" s="59" t="s">
        <v>193</v>
      </c>
      <c r="K35" s="59">
        <v>0.8559122141318839</v>
      </c>
      <c r="L35" s="59">
        <v>0.13301199876935704</v>
      </c>
      <c r="M35" s="59">
        <v>0.38314019074966671</v>
      </c>
      <c r="N35" s="59" t="s">
        <v>193</v>
      </c>
      <c r="O35" s="58">
        <v>0.40381915192361678</v>
      </c>
      <c r="P35" s="58" t="s">
        <v>193</v>
      </c>
      <c r="Q35" s="58" t="s">
        <v>193</v>
      </c>
      <c r="R35" s="58" t="s">
        <v>193</v>
      </c>
      <c r="S35" s="58" t="s">
        <v>193</v>
      </c>
      <c r="T35" s="58" t="s">
        <v>193</v>
      </c>
      <c r="U35" s="58">
        <v>0.32827857343442823</v>
      </c>
      <c r="V35" s="59">
        <v>9.6107518701661024E-2</v>
      </c>
      <c r="W35" s="59">
        <v>0.2758970457715228</v>
      </c>
      <c r="X35" s="59" t="s">
        <v>193</v>
      </c>
      <c r="Y35" s="59" t="s">
        <v>192</v>
      </c>
      <c r="Z35" s="59" t="s">
        <v>193</v>
      </c>
      <c r="AA35" s="59" t="s">
        <v>193</v>
      </c>
      <c r="AB35" s="59" t="s">
        <v>193</v>
      </c>
      <c r="AC35" s="58" t="s">
        <v>193</v>
      </c>
      <c r="AD35" s="58" t="s">
        <v>193</v>
      </c>
      <c r="AE35" s="58" t="s">
        <v>193</v>
      </c>
      <c r="AF35" s="58" t="s">
        <v>193</v>
      </c>
      <c r="AG35" s="58" t="s">
        <v>193</v>
      </c>
      <c r="AH35" s="58" t="s">
        <v>193</v>
      </c>
      <c r="AI35" s="58" t="s">
        <v>193</v>
      </c>
      <c r="AJ35" s="59" t="s">
        <v>193</v>
      </c>
      <c r="AK35" s="59" t="s">
        <v>193</v>
      </c>
      <c r="AL35" s="59" t="s">
        <v>193</v>
      </c>
      <c r="AM35" s="59">
        <v>0.33032258064516112</v>
      </c>
      <c r="AN35" s="59" t="s">
        <v>193</v>
      </c>
      <c r="AO35" s="59">
        <v>8.5898617511520586E-2</v>
      </c>
      <c r="AP35" s="59" t="s">
        <v>193</v>
      </c>
      <c r="AQ35" s="58" t="s">
        <v>193</v>
      </c>
      <c r="AR35" s="58" t="s">
        <v>193</v>
      </c>
      <c r="AS35" s="58" t="s">
        <v>193</v>
      </c>
      <c r="AT35" s="58" t="s">
        <v>193</v>
      </c>
      <c r="AU35" s="58" t="s">
        <v>193</v>
      </c>
      <c r="AV35" s="58" t="s">
        <v>193</v>
      </c>
      <c r="AW35" s="58" t="s">
        <v>193</v>
      </c>
      <c r="AX35" s="59">
        <v>0.24018049430827612</v>
      </c>
      <c r="AY35" s="59">
        <v>0.22315659932314641</v>
      </c>
      <c r="AZ35" s="59">
        <v>0.25402522818172502</v>
      </c>
      <c r="BA35" s="59">
        <v>0.16121423443749364</v>
      </c>
      <c r="BB35" s="59">
        <v>0.34345195364577996</v>
      </c>
      <c r="BC35" s="59">
        <v>0.60096400369192904</v>
      </c>
      <c r="BD35" s="59">
        <v>0.21823402727925348</v>
      </c>
    </row>
    <row r="36" spans="1:56" x14ac:dyDescent="0.25">
      <c r="A36" s="58">
        <v>0.60363605898123307</v>
      </c>
      <c r="B36" s="58">
        <v>0.4839979892761393</v>
      </c>
      <c r="C36" s="58">
        <v>0.52153150134048243</v>
      </c>
      <c r="D36" s="58" t="s">
        <v>192</v>
      </c>
      <c r="E36" s="58">
        <v>0.25427278820375321</v>
      </c>
      <c r="F36" s="58">
        <v>0.97285522788203738</v>
      </c>
      <c r="G36" s="58">
        <v>0.16747654155495967</v>
      </c>
      <c r="H36" s="59">
        <v>0.57419751820326126</v>
      </c>
      <c r="I36" s="59">
        <v>0.59860527125423035</v>
      </c>
      <c r="J36" s="59">
        <v>0.22315659932314641</v>
      </c>
      <c r="K36" s="59" t="s">
        <v>192</v>
      </c>
      <c r="L36" s="59">
        <v>0.50846067070044099</v>
      </c>
      <c r="M36" s="59">
        <v>0.75858886268075065</v>
      </c>
      <c r="N36" s="59">
        <v>1.1383447851502493E-2</v>
      </c>
      <c r="O36" s="58">
        <v>0.30075821398483549</v>
      </c>
      <c r="P36" s="58" t="s">
        <v>193</v>
      </c>
      <c r="Q36" s="58" t="s">
        <v>193</v>
      </c>
      <c r="R36" s="58" t="s">
        <v>193</v>
      </c>
      <c r="S36" s="58" t="s">
        <v>193</v>
      </c>
      <c r="T36" s="58" t="s">
        <v>193</v>
      </c>
      <c r="U36" s="58">
        <v>0.22521763549564713</v>
      </c>
      <c r="V36" s="59">
        <v>0.48903258526689486</v>
      </c>
      <c r="W36" s="59">
        <v>0.66882211233675659</v>
      </c>
      <c r="X36" s="59">
        <v>0.2758970457715228</v>
      </c>
      <c r="Y36" s="59" t="s">
        <v>192</v>
      </c>
      <c r="Z36" s="59" t="s">
        <v>193</v>
      </c>
      <c r="AA36" s="59">
        <v>0.24419931532902248</v>
      </c>
      <c r="AB36" s="59">
        <v>0.11157601115760118</v>
      </c>
      <c r="AC36" s="58" t="s">
        <v>193</v>
      </c>
      <c r="AD36" s="58" t="s">
        <v>193</v>
      </c>
      <c r="AE36" s="58" t="s">
        <v>193</v>
      </c>
      <c r="AF36" s="58" t="s">
        <v>193</v>
      </c>
      <c r="AG36" s="58" t="s">
        <v>193</v>
      </c>
      <c r="AH36" s="58" t="s">
        <v>193</v>
      </c>
      <c r="AI36" s="58" t="s">
        <v>193</v>
      </c>
      <c r="AJ36" s="59" t="s">
        <v>193</v>
      </c>
      <c r="AK36" s="59" t="s">
        <v>193</v>
      </c>
      <c r="AL36" s="59" t="s">
        <v>193</v>
      </c>
      <c r="AM36" s="59">
        <v>0.36811059907834093</v>
      </c>
      <c r="AN36" s="59" t="s">
        <v>193</v>
      </c>
      <c r="AO36" s="59">
        <v>0.12368663594470035</v>
      </c>
      <c r="AP36" s="59" t="s">
        <v>193</v>
      </c>
      <c r="AQ36" s="58" t="s">
        <v>193</v>
      </c>
      <c r="AR36" s="58">
        <v>0.14098360655737696</v>
      </c>
      <c r="AS36" s="58" t="s">
        <v>193</v>
      </c>
      <c r="AT36" s="58">
        <v>0.10255737704918025</v>
      </c>
      <c r="AU36" s="58" t="s">
        <v>193</v>
      </c>
      <c r="AV36" s="58" t="s">
        <v>193</v>
      </c>
      <c r="AW36" s="58">
        <v>0.18426229508196709</v>
      </c>
      <c r="AX36" s="59">
        <v>0.20931186544969752</v>
      </c>
      <c r="AY36" s="59">
        <v>0.1922879704645678</v>
      </c>
      <c r="AZ36" s="59">
        <v>0.22315659932314641</v>
      </c>
      <c r="BA36" s="59">
        <v>0.13034560557891506</v>
      </c>
      <c r="BB36" s="59">
        <v>0.31258332478720136</v>
      </c>
      <c r="BC36" s="59">
        <v>0.57009537483335049</v>
      </c>
      <c r="BD36" s="59">
        <v>0.18736539842067487</v>
      </c>
    </row>
    <row r="37" spans="1:56" x14ac:dyDescent="0.25">
      <c r="A37" s="58" t="s">
        <v>193</v>
      </c>
      <c r="B37" s="58" t="s">
        <v>193</v>
      </c>
      <c r="C37" s="58" t="s">
        <v>193</v>
      </c>
      <c r="D37" s="58">
        <v>0.52153150134048243</v>
      </c>
      <c r="E37" s="58" t="s">
        <v>193</v>
      </c>
      <c r="F37" s="58">
        <v>0.30646782841823045</v>
      </c>
      <c r="G37" s="58" t="s">
        <v>193</v>
      </c>
      <c r="H37" s="59" t="s">
        <v>193</v>
      </c>
      <c r="I37" s="59" t="s">
        <v>193</v>
      </c>
      <c r="J37" s="59" t="s">
        <v>193</v>
      </c>
      <c r="K37" s="59">
        <v>0.22315659932314641</v>
      </c>
      <c r="L37" s="59" t="s">
        <v>193</v>
      </c>
      <c r="M37" s="59" t="s">
        <v>193</v>
      </c>
      <c r="N37" s="59" t="s">
        <v>193</v>
      </c>
      <c r="O37" s="58">
        <v>0.51783206964335837</v>
      </c>
      <c r="P37" s="58" t="s">
        <v>193</v>
      </c>
      <c r="Q37" s="58" t="s">
        <v>193</v>
      </c>
      <c r="R37" s="58" t="s">
        <v>193</v>
      </c>
      <c r="S37" s="58" t="s">
        <v>193</v>
      </c>
      <c r="T37" s="58" t="s">
        <v>193</v>
      </c>
      <c r="U37" s="58">
        <v>0.44229149115416999</v>
      </c>
      <c r="V37" s="59" t="s">
        <v>193</v>
      </c>
      <c r="W37" s="59" t="s">
        <v>193</v>
      </c>
      <c r="X37" s="59" t="s">
        <v>193</v>
      </c>
      <c r="Y37" s="59">
        <v>0.2758970457715228</v>
      </c>
      <c r="Z37" s="59" t="s">
        <v>193</v>
      </c>
      <c r="AA37" s="59" t="s">
        <v>193</v>
      </c>
      <c r="AB37" s="59" t="s">
        <v>193</v>
      </c>
      <c r="AC37" s="58">
        <v>0.36318897637795267</v>
      </c>
      <c r="AD37" s="58">
        <v>1.8700787401574655E-2</v>
      </c>
      <c r="AE37" s="58" t="s">
        <v>193</v>
      </c>
      <c r="AF37" s="58" t="s">
        <v>193</v>
      </c>
      <c r="AG37" s="58" t="s">
        <v>193</v>
      </c>
      <c r="AH37" s="58" t="s">
        <v>193</v>
      </c>
      <c r="AI37" s="58" t="s">
        <v>193</v>
      </c>
      <c r="AJ37" s="59" t="s">
        <v>193</v>
      </c>
      <c r="AK37" s="59" t="s">
        <v>193</v>
      </c>
      <c r="AL37" s="59" t="s">
        <v>193</v>
      </c>
      <c r="AM37" s="59" t="s">
        <v>193</v>
      </c>
      <c r="AN37" s="59" t="s">
        <v>193</v>
      </c>
      <c r="AO37" s="59" t="s">
        <v>193</v>
      </c>
      <c r="AP37" s="59" t="s">
        <v>193</v>
      </c>
      <c r="AQ37" s="58" t="s">
        <v>193</v>
      </c>
      <c r="AR37" s="58" t="s">
        <v>193</v>
      </c>
      <c r="AS37" s="58" t="s">
        <v>193</v>
      </c>
      <c r="AT37" s="58" t="s">
        <v>193</v>
      </c>
      <c r="AU37" s="58" t="s">
        <v>193</v>
      </c>
      <c r="AV37" s="58" t="s">
        <v>193</v>
      </c>
      <c r="AW37" s="58" t="s">
        <v>193</v>
      </c>
      <c r="AX37" s="59">
        <v>0.30212285919392889</v>
      </c>
      <c r="AY37" s="59">
        <v>0.28509896420879915</v>
      </c>
      <c r="AZ37" s="59">
        <v>0.31596759306737771</v>
      </c>
      <c r="BA37" s="59">
        <v>0.22315659932314641</v>
      </c>
      <c r="BB37" s="59">
        <v>0.40539431853143276</v>
      </c>
      <c r="BC37" s="59">
        <v>0.66290636857758178</v>
      </c>
      <c r="BD37" s="59">
        <v>0.2801763921649062</v>
      </c>
    </row>
    <row r="38" spans="1:56" x14ac:dyDescent="0.25">
      <c r="A38" s="58">
        <v>0.8708947721179624</v>
      </c>
      <c r="B38" s="58">
        <v>0.75125670241286846</v>
      </c>
      <c r="C38" s="58">
        <v>0.78879021447721165</v>
      </c>
      <c r="D38" s="58" t="s">
        <v>192</v>
      </c>
      <c r="E38" s="58">
        <v>0.52153150134048243</v>
      </c>
      <c r="F38" s="58" t="s">
        <v>192</v>
      </c>
      <c r="G38" s="58">
        <v>0.43473525469168883</v>
      </c>
      <c r="H38" s="59">
        <v>0.28889344682596663</v>
      </c>
      <c r="I38" s="59">
        <v>0.31330119987693578</v>
      </c>
      <c r="J38" s="59" t="s">
        <v>193</v>
      </c>
      <c r="K38" s="59">
        <v>0.94605681468567326</v>
      </c>
      <c r="L38" s="59">
        <v>0.22315659932314641</v>
      </c>
      <c r="M38" s="59">
        <v>0.47328479130345608</v>
      </c>
      <c r="N38" s="59" t="s">
        <v>193</v>
      </c>
      <c r="O38" s="58">
        <v>0.41926425161471481</v>
      </c>
      <c r="P38" s="58" t="s">
        <v>193</v>
      </c>
      <c r="Q38" s="58" t="s">
        <v>193</v>
      </c>
      <c r="R38" s="58" t="s">
        <v>193</v>
      </c>
      <c r="S38" s="58" t="s">
        <v>193</v>
      </c>
      <c r="T38" s="58" t="s">
        <v>193</v>
      </c>
      <c r="U38" s="58">
        <v>0.34372367312552626</v>
      </c>
      <c r="V38" s="59">
        <v>0.77025484975275771</v>
      </c>
      <c r="W38" s="59">
        <v>0.95004437682261933</v>
      </c>
      <c r="X38" s="59">
        <v>0.55711931025738548</v>
      </c>
      <c r="Y38" s="59" t="s">
        <v>192</v>
      </c>
      <c r="Z38" s="59">
        <v>0.2758970457715228</v>
      </c>
      <c r="AA38" s="59">
        <v>0.52542157981488524</v>
      </c>
      <c r="AB38" s="59">
        <v>0.39279827564346392</v>
      </c>
      <c r="AC38" s="58" t="s">
        <v>193</v>
      </c>
      <c r="AD38" s="58" t="s">
        <v>193</v>
      </c>
      <c r="AE38" s="58" t="s">
        <v>193</v>
      </c>
      <c r="AF38" s="58" t="s">
        <v>193</v>
      </c>
      <c r="AG38" s="58" t="s">
        <v>193</v>
      </c>
      <c r="AH38" s="58" t="s">
        <v>193</v>
      </c>
      <c r="AI38" s="58" t="s">
        <v>193</v>
      </c>
      <c r="AJ38" s="59" t="s">
        <v>193</v>
      </c>
      <c r="AK38" s="59">
        <v>0.11907834101382476</v>
      </c>
      <c r="AL38" s="59">
        <v>8.1290322580645016E-2</v>
      </c>
      <c r="AM38" s="59">
        <v>0.84571428571428553</v>
      </c>
      <c r="AN38" s="59" t="s">
        <v>193</v>
      </c>
      <c r="AO38" s="59">
        <v>0.60129032258064508</v>
      </c>
      <c r="AP38" s="59">
        <v>2.3963133640552865E-2</v>
      </c>
      <c r="AQ38" s="58" t="s">
        <v>193</v>
      </c>
      <c r="AR38" s="58" t="s">
        <v>193</v>
      </c>
      <c r="AS38" s="58" t="s">
        <v>193</v>
      </c>
      <c r="AT38" s="58" t="s">
        <v>193</v>
      </c>
      <c r="AU38" s="58" t="s">
        <v>193</v>
      </c>
      <c r="AV38" s="58" t="s">
        <v>193</v>
      </c>
      <c r="AW38" s="58" t="s">
        <v>193</v>
      </c>
      <c r="AX38" s="59">
        <v>0.11988513998564257</v>
      </c>
      <c r="AY38" s="59">
        <v>0.10286124500051283</v>
      </c>
      <c r="AZ38" s="59">
        <v>0.13372987385909144</v>
      </c>
      <c r="BA38" s="59">
        <v>4.0918880114860084E-2</v>
      </c>
      <c r="BB38" s="59">
        <v>0.22315659932314641</v>
      </c>
      <c r="BC38" s="59">
        <v>0.48066864936929549</v>
      </c>
      <c r="BD38" s="59">
        <v>9.7938672956619899E-2</v>
      </c>
    </row>
    <row r="39" spans="1:56" x14ac:dyDescent="0.25">
      <c r="A39" s="58">
        <v>0.15231233243967815</v>
      </c>
      <c r="B39" s="58">
        <v>3.2674262734584292E-2</v>
      </c>
      <c r="C39" s="58">
        <v>7.0207774798927508E-2</v>
      </c>
      <c r="D39" s="58">
        <v>0.73659517426273435</v>
      </c>
      <c r="E39" s="58" t="s">
        <v>193</v>
      </c>
      <c r="F39" s="58">
        <v>0.52153150134048243</v>
      </c>
      <c r="G39" s="58" t="s">
        <v>193</v>
      </c>
      <c r="H39" s="59">
        <v>3.8765254845656939E-2</v>
      </c>
      <c r="I39" s="59">
        <v>6.3173007896626054E-2</v>
      </c>
      <c r="J39" s="59" t="s">
        <v>193</v>
      </c>
      <c r="K39" s="59">
        <v>0.6959286227053636</v>
      </c>
      <c r="L39" s="59" t="s">
        <v>193</v>
      </c>
      <c r="M39" s="59">
        <v>0.22315659932314641</v>
      </c>
      <c r="N39" s="59" t="s">
        <v>193</v>
      </c>
      <c r="O39" s="58">
        <v>0.30216231395675353</v>
      </c>
      <c r="P39" s="58" t="s">
        <v>193</v>
      </c>
      <c r="Q39" s="58" t="s">
        <v>193</v>
      </c>
      <c r="R39" s="58" t="s">
        <v>193</v>
      </c>
      <c r="S39" s="58" t="s">
        <v>193</v>
      </c>
      <c r="T39" s="58" t="s">
        <v>193</v>
      </c>
      <c r="U39" s="58">
        <v>0.22662173546756514</v>
      </c>
      <c r="V39" s="59">
        <v>0.52073031570939521</v>
      </c>
      <c r="W39" s="59">
        <v>0.70051984277925683</v>
      </c>
      <c r="X39" s="59">
        <v>0.30759477621402309</v>
      </c>
      <c r="Y39" s="59" t="s">
        <v>192</v>
      </c>
      <c r="Z39" s="59">
        <v>2.6372511728160346E-2</v>
      </c>
      <c r="AA39" s="59">
        <v>0.2758970457715228</v>
      </c>
      <c r="AB39" s="59">
        <v>0.14327374160010148</v>
      </c>
      <c r="AC39" s="58">
        <v>0.20792322834645649</v>
      </c>
      <c r="AD39" s="58" t="s">
        <v>193</v>
      </c>
      <c r="AE39" s="58" t="s">
        <v>193</v>
      </c>
      <c r="AF39" s="58" t="s">
        <v>193</v>
      </c>
      <c r="AG39" s="58" t="s">
        <v>193</v>
      </c>
      <c r="AH39" s="58" t="s">
        <v>193</v>
      </c>
      <c r="AI39" s="58" t="s">
        <v>193</v>
      </c>
      <c r="AJ39" s="59" t="s">
        <v>193</v>
      </c>
      <c r="AK39" s="59" t="s">
        <v>193</v>
      </c>
      <c r="AL39" s="59" t="s">
        <v>193</v>
      </c>
      <c r="AM39" s="59" t="s">
        <v>193</v>
      </c>
      <c r="AN39" s="59" t="s">
        <v>193</v>
      </c>
      <c r="AO39" s="59" t="s">
        <v>193</v>
      </c>
      <c r="AP39" s="59" t="s">
        <v>193</v>
      </c>
      <c r="AQ39" s="58" t="s">
        <v>193</v>
      </c>
      <c r="AR39" s="58">
        <v>0.11449180327868845</v>
      </c>
      <c r="AS39" s="58" t="s">
        <v>193</v>
      </c>
      <c r="AT39" s="58">
        <v>7.6065573770491723E-2</v>
      </c>
      <c r="AU39" s="58" t="s">
        <v>193</v>
      </c>
      <c r="AV39" s="58" t="s">
        <v>193</v>
      </c>
      <c r="AW39" s="58">
        <v>0.15777049180327857</v>
      </c>
      <c r="AX39" s="59" t="s">
        <v>193</v>
      </c>
      <c r="AY39" s="59" t="s">
        <v>193</v>
      </c>
      <c r="AZ39" s="59" t="s">
        <v>193</v>
      </c>
      <c r="BA39" s="59" t="s">
        <v>193</v>
      </c>
      <c r="BB39" s="59" t="s">
        <v>193</v>
      </c>
      <c r="BC39" s="59">
        <v>0.22315659932314641</v>
      </c>
      <c r="BD39" s="59" t="s">
        <v>193</v>
      </c>
    </row>
    <row r="40" spans="1:56" x14ac:dyDescent="0.25">
      <c r="A40" s="58">
        <v>0.95769101876675589</v>
      </c>
      <c r="B40" s="58">
        <v>0.83805294906166194</v>
      </c>
      <c r="C40" s="58">
        <v>0.87558646112600513</v>
      </c>
      <c r="D40" s="58" t="s">
        <v>192</v>
      </c>
      <c r="E40" s="58">
        <v>0.60832774798927602</v>
      </c>
      <c r="F40" s="58" t="s">
        <v>192</v>
      </c>
      <c r="G40" s="58">
        <v>0.52153150134048243</v>
      </c>
      <c r="H40" s="59">
        <v>0.78597066967490503</v>
      </c>
      <c r="I40" s="59">
        <v>0.81037842272587424</v>
      </c>
      <c r="J40" s="59">
        <v>0.43492975079479029</v>
      </c>
      <c r="K40" s="59" t="s">
        <v>192</v>
      </c>
      <c r="L40" s="59">
        <v>0.72023382217208498</v>
      </c>
      <c r="M40" s="59">
        <v>0.97036201415239476</v>
      </c>
      <c r="N40" s="59">
        <v>0.22315659932314641</v>
      </c>
      <c r="O40" s="58" t="s">
        <v>193</v>
      </c>
      <c r="P40" s="58" t="s">
        <v>193</v>
      </c>
      <c r="Q40" s="58" t="s">
        <v>193</v>
      </c>
      <c r="R40" s="58" t="s">
        <v>193</v>
      </c>
      <c r="S40" s="58" t="s">
        <v>193</v>
      </c>
      <c r="T40" s="58" t="s">
        <v>193</v>
      </c>
      <c r="U40" s="58" t="s">
        <v>193</v>
      </c>
      <c r="V40" s="59">
        <v>0.65335361988081653</v>
      </c>
      <c r="W40" s="59">
        <v>0.83314314695067815</v>
      </c>
      <c r="X40" s="59">
        <v>0.44021808038544441</v>
      </c>
      <c r="Y40" s="59" t="s">
        <v>192</v>
      </c>
      <c r="Z40" s="59">
        <v>0.15899581589958164</v>
      </c>
      <c r="AA40" s="59">
        <v>0.40852034994294406</v>
      </c>
      <c r="AB40" s="59">
        <v>0.2758970457715228</v>
      </c>
      <c r="AC40" s="58">
        <v>0.31126968503936997</v>
      </c>
      <c r="AD40" s="58" t="s">
        <v>193</v>
      </c>
      <c r="AE40" s="58" t="s">
        <v>193</v>
      </c>
      <c r="AF40" s="58" t="s">
        <v>193</v>
      </c>
      <c r="AG40" s="58" t="s">
        <v>193</v>
      </c>
      <c r="AH40" s="58" t="s">
        <v>193</v>
      </c>
      <c r="AI40" s="58" t="s">
        <v>193</v>
      </c>
      <c r="AJ40" s="59" t="s">
        <v>193</v>
      </c>
      <c r="AK40" s="59" t="s">
        <v>193</v>
      </c>
      <c r="AL40" s="59" t="s">
        <v>193</v>
      </c>
      <c r="AM40" s="59">
        <v>0.42543778801843302</v>
      </c>
      <c r="AN40" s="59" t="s">
        <v>193</v>
      </c>
      <c r="AO40" s="59">
        <v>0.18101382488479245</v>
      </c>
      <c r="AP40" s="59" t="s">
        <v>193</v>
      </c>
      <c r="AQ40" s="58" t="s">
        <v>193</v>
      </c>
      <c r="AR40" s="58" t="s">
        <v>193</v>
      </c>
      <c r="AS40" s="58" t="s">
        <v>193</v>
      </c>
      <c r="AT40" s="58" t="s">
        <v>193</v>
      </c>
      <c r="AU40" s="58" t="s">
        <v>193</v>
      </c>
      <c r="AV40" s="58" t="s">
        <v>193</v>
      </c>
      <c r="AW40" s="58" t="s">
        <v>193</v>
      </c>
      <c r="AX40" s="59">
        <v>0.24510306635216905</v>
      </c>
      <c r="AY40" s="59">
        <v>0.22807917136703934</v>
      </c>
      <c r="AZ40" s="59">
        <v>0.25894780022561792</v>
      </c>
      <c r="BA40" s="59">
        <v>0.1661368064813866</v>
      </c>
      <c r="BB40" s="59">
        <v>0.34837452568967286</v>
      </c>
      <c r="BC40" s="59">
        <v>0.60588657573582194</v>
      </c>
      <c r="BD40" s="59">
        <v>0.22315659932314641</v>
      </c>
    </row>
    <row r="44" spans="1:56" x14ac:dyDescent="0.25">
      <c r="A44" s="89" t="s">
        <v>194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</row>
    <row r="45" spans="1:56" x14ac:dyDescent="0.25">
      <c r="A45" s="11">
        <v>1</v>
      </c>
      <c r="B45" s="11">
        <v>2</v>
      </c>
      <c r="C45" s="11">
        <v>3</v>
      </c>
      <c r="D45" s="11">
        <v>4</v>
      </c>
      <c r="E45" s="11">
        <v>5</v>
      </c>
      <c r="F45" s="11">
        <v>6</v>
      </c>
      <c r="G45" s="11">
        <v>7</v>
      </c>
      <c r="H45" s="11">
        <v>1</v>
      </c>
      <c r="I45" s="11">
        <v>2</v>
      </c>
      <c r="J45" s="11">
        <v>3</v>
      </c>
      <c r="K45" s="11">
        <v>4</v>
      </c>
      <c r="L45" s="11">
        <v>5</v>
      </c>
      <c r="M45" s="11">
        <v>6</v>
      </c>
      <c r="N45" s="11">
        <v>7</v>
      </c>
      <c r="O45" s="11">
        <v>1</v>
      </c>
      <c r="P45" s="11">
        <v>2</v>
      </c>
      <c r="Q45" s="11">
        <v>3</v>
      </c>
      <c r="R45" s="11">
        <v>4</v>
      </c>
      <c r="S45" s="11">
        <v>5</v>
      </c>
      <c r="T45" s="11">
        <v>6</v>
      </c>
      <c r="U45" s="11">
        <v>7</v>
      </c>
      <c r="V45" s="11">
        <v>1</v>
      </c>
      <c r="W45" s="11">
        <v>2</v>
      </c>
      <c r="X45" s="11">
        <v>3</v>
      </c>
      <c r="Y45" s="11">
        <v>4</v>
      </c>
      <c r="Z45" s="11">
        <v>5</v>
      </c>
      <c r="AA45" s="11">
        <v>6</v>
      </c>
      <c r="AB45" s="11">
        <v>7</v>
      </c>
      <c r="AC45" s="11">
        <v>1</v>
      </c>
      <c r="AD45" s="11">
        <v>2</v>
      </c>
      <c r="AE45" s="11">
        <v>3</v>
      </c>
      <c r="AF45" s="11">
        <v>4</v>
      </c>
      <c r="AG45" s="11">
        <v>5</v>
      </c>
      <c r="AH45" s="11">
        <v>6</v>
      </c>
      <c r="AI45" s="11">
        <v>7</v>
      </c>
      <c r="AJ45" s="11">
        <v>1</v>
      </c>
      <c r="AK45" s="11">
        <v>2</v>
      </c>
      <c r="AL45" s="11">
        <v>3</v>
      </c>
      <c r="AM45" s="11">
        <v>4</v>
      </c>
      <c r="AN45" s="11">
        <v>5</v>
      </c>
      <c r="AO45" s="11">
        <v>6</v>
      </c>
      <c r="AP45" s="11">
        <v>7</v>
      </c>
      <c r="AQ45" s="11">
        <v>1</v>
      </c>
      <c r="AR45" s="11">
        <v>2</v>
      </c>
      <c r="AS45" s="11">
        <v>3</v>
      </c>
      <c r="AT45" s="11">
        <v>4</v>
      </c>
      <c r="AU45" s="11">
        <v>5</v>
      </c>
      <c r="AV45" s="11">
        <v>6</v>
      </c>
      <c r="AW45" s="11">
        <v>7</v>
      </c>
      <c r="AX45" s="11">
        <v>1</v>
      </c>
      <c r="AY45" s="11">
        <v>2</v>
      </c>
      <c r="AZ45" s="11">
        <v>3</v>
      </c>
      <c r="BA45" s="11">
        <v>4</v>
      </c>
      <c r="BB45" s="11">
        <v>5</v>
      </c>
      <c r="BC45" s="11">
        <v>6</v>
      </c>
      <c r="BD45" s="11">
        <v>7</v>
      </c>
    </row>
    <row r="46" spans="1:56" x14ac:dyDescent="0.25">
      <c r="A46" s="113" t="s">
        <v>196</v>
      </c>
      <c r="B46" s="113"/>
      <c r="C46" s="113"/>
      <c r="D46" s="113"/>
      <c r="E46" s="113"/>
      <c r="F46" s="113"/>
      <c r="G46" s="113"/>
      <c r="H46" s="113" t="s">
        <v>197</v>
      </c>
      <c r="I46" s="113"/>
      <c r="J46" s="113"/>
      <c r="K46" s="113"/>
      <c r="L46" s="113"/>
      <c r="M46" s="113"/>
      <c r="N46" s="113"/>
      <c r="O46" s="113" t="s">
        <v>198</v>
      </c>
      <c r="P46" s="113"/>
      <c r="Q46" s="113"/>
      <c r="R46" s="113"/>
      <c r="S46" s="113"/>
      <c r="T46" s="113"/>
      <c r="U46" s="113"/>
      <c r="V46" s="113" t="s">
        <v>199</v>
      </c>
      <c r="W46" s="113"/>
      <c r="X46" s="113"/>
      <c r="Y46" s="113"/>
      <c r="Z46" s="113"/>
      <c r="AA46" s="113"/>
      <c r="AB46" s="113"/>
      <c r="AC46" s="113" t="s">
        <v>200</v>
      </c>
      <c r="AD46" s="113"/>
      <c r="AE46" s="113"/>
      <c r="AF46" s="113"/>
      <c r="AG46" s="113"/>
      <c r="AH46" s="113"/>
      <c r="AI46" s="113"/>
      <c r="AJ46" s="113" t="s">
        <v>201</v>
      </c>
      <c r="AK46" s="113"/>
      <c r="AL46" s="113"/>
      <c r="AM46" s="113"/>
      <c r="AN46" s="113"/>
      <c r="AO46" s="113"/>
      <c r="AP46" s="113"/>
      <c r="AQ46" s="113" t="s">
        <v>202</v>
      </c>
      <c r="AR46" s="113"/>
      <c r="AS46" s="113"/>
      <c r="AT46" s="113"/>
      <c r="AU46" s="113"/>
      <c r="AV46" s="113"/>
      <c r="AW46" s="113"/>
      <c r="AX46" s="113" t="s">
        <v>203</v>
      </c>
      <c r="AY46" s="113"/>
      <c r="AZ46" s="113"/>
      <c r="BA46" s="113"/>
      <c r="BB46" s="113"/>
      <c r="BC46" s="113"/>
      <c r="BD46" s="113"/>
    </row>
    <row r="47" spans="1:56" x14ac:dyDescent="0.25">
      <c r="A47" s="58">
        <f>ROUND(A34,4)</f>
        <v>0.52149999999999996</v>
      </c>
      <c r="B47" s="58">
        <f t="shared" ref="B47:BD51" si="56">ROUND(B34,4)</f>
        <v>0.40189999999999998</v>
      </c>
      <c r="C47" s="58">
        <f t="shared" si="56"/>
        <v>0.43940000000000001</v>
      </c>
      <c r="D47" s="58">
        <f t="shared" si="56"/>
        <v>1</v>
      </c>
      <c r="E47" s="58">
        <f t="shared" si="56"/>
        <v>0.17219999999999999</v>
      </c>
      <c r="F47" s="58">
        <f t="shared" si="56"/>
        <v>0.89080000000000004</v>
      </c>
      <c r="G47" s="58">
        <f t="shared" si="56"/>
        <v>8.5400000000000004E-2</v>
      </c>
      <c r="H47" s="59">
        <f t="shared" si="56"/>
        <v>0.22320000000000001</v>
      </c>
      <c r="I47" s="59">
        <f t="shared" si="56"/>
        <v>0.24759999999999999</v>
      </c>
      <c r="J47" s="59">
        <f t="shared" si="56"/>
        <v>0</v>
      </c>
      <c r="K47" s="59">
        <f t="shared" si="56"/>
        <v>0.88029999999999997</v>
      </c>
      <c r="L47" s="59">
        <f t="shared" si="56"/>
        <v>0.15740000000000001</v>
      </c>
      <c r="M47" s="59">
        <f t="shared" si="56"/>
        <v>0.40749999999999997</v>
      </c>
      <c r="N47" s="59">
        <f t="shared" si="56"/>
        <v>0</v>
      </c>
      <c r="O47" s="58">
        <f t="shared" si="56"/>
        <v>0</v>
      </c>
      <c r="P47" s="58">
        <f t="shared" si="56"/>
        <v>0</v>
      </c>
      <c r="Q47" s="58">
        <f t="shared" si="56"/>
        <v>0</v>
      </c>
      <c r="R47" s="58">
        <f t="shared" si="56"/>
        <v>0</v>
      </c>
      <c r="S47" s="58">
        <f t="shared" si="56"/>
        <v>0</v>
      </c>
      <c r="T47" s="58">
        <f t="shared" si="56"/>
        <v>0</v>
      </c>
      <c r="U47" s="58">
        <f t="shared" si="56"/>
        <v>0</v>
      </c>
      <c r="V47" s="59">
        <f t="shared" si="56"/>
        <v>0.27589999999999998</v>
      </c>
      <c r="W47" s="59">
        <f t="shared" si="56"/>
        <v>0.45569999999999999</v>
      </c>
      <c r="X47" s="59">
        <f t="shared" si="56"/>
        <v>6.2799999999999995E-2</v>
      </c>
      <c r="Y47" s="59">
        <f t="shared" si="56"/>
        <v>1</v>
      </c>
      <c r="Z47" s="59">
        <f t="shared" si="56"/>
        <v>0</v>
      </c>
      <c r="AA47" s="59">
        <f t="shared" si="56"/>
        <v>3.1099999999999999E-2</v>
      </c>
      <c r="AB47" s="59">
        <f t="shared" si="56"/>
        <v>0</v>
      </c>
      <c r="AC47" s="58">
        <f t="shared" si="56"/>
        <v>0</v>
      </c>
      <c r="AD47" s="58">
        <f t="shared" si="56"/>
        <v>0</v>
      </c>
      <c r="AE47" s="58">
        <f t="shared" si="56"/>
        <v>0</v>
      </c>
      <c r="AF47" s="58">
        <f t="shared" si="56"/>
        <v>0</v>
      </c>
      <c r="AG47" s="58">
        <f t="shared" si="56"/>
        <v>0</v>
      </c>
      <c r="AH47" s="58">
        <f t="shared" si="56"/>
        <v>0</v>
      </c>
      <c r="AI47" s="58">
        <f t="shared" si="56"/>
        <v>0</v>
      </c>
      <c r="AJ47" s="59">
        <f t="shared" si="56"/>
        <v>0</v>
      </c>
      <c r="AK47" s="59">
        <f t="shared" si="56"/>
        <v>0</v>
      </c>
      <c r="AL47" s="59">
        <f t="shared" si="56"/>
        <v>0</v>
      </c>
      <c r="AM47" s="59">
        <f t="shared" si="56"/>
        <v>0.61350000000000005</v>
      </c>
      <c r="AN47" s="59">
        <f t="shared" si="56"/>
        <v>0</v>
      </c>
      <c r="AO47" s="59">
        <f t="shared" si="56"/>
        <v>0.36899999999999999</v>
      </c>
      <c r="AP47" s="59">
        <f t="shared" si="56"/>
        <v>0</v>
      </c>
      <c r="AQ47" s="58">
        <f t="shared" si="56"/>
        <v>0</v>
      </c>
      <c r="AR47" s="58">
        <f t="shared" si="56"/>
        <v>0.2349</v>
      </c>
      <c r="AS47" s="58">
        <f t="shared" si="56"/>
        <v>0</v>
      </c>
      <c r="AT47" s="58">
        <f t="shared" si="56"/>
        <v>0.19650000000000001</v>
      </c>
      <c r="AU47" s="58">
        <f t="shared" si="56"/>
        <v>2.1899999999999999E-2</v>
      </c>
      <c r="AV47" s="58">
        <f t="shared" si="56"/>
        <v>0</v>
      </c>
      <c r="AW47" s="58">
        <f t="shared" si="56"/>
        <v>0.2782</v>
      </c>
      <c r="AX47" s="59">
        <f t="shared" si="56"/>
        <v>0.22320000000000001</v>
      </c>
      <c r="AY47" s="59">
        <f t="shared" si="56"/>
        <v>0.20610000000000001</v>
      </c>
      <c r="AZ47" s="59">
        <f t="shared" si="56"/>
        <v>0.23699999999999999</v>
      </c>
      <c r="BA47" s="59">
        <f t="shared" si="56"/>
        <v>0.14419999999999999</v>
      </c>
      <c r="BB47" s="59">
        <f t="shared" si="56"/>
        <v>0.32640000000000002</v>
      </c>
      <c r="BC47" s="59">
        <f t="shared" si="56"/>
        <v>0.58389999999999997</v>
      </c>
      <c r="BD47" s="59">
        <f t="shared" si="56"/>
        <v>0.20119999999999999</v>
      </c>
    </row>
    <row r="48" spans="1:56" x14ac:dyDescent="0.25">
      <c r="A48" s="58">
        <f t="shared" ref="A48:P53" si="57">ROUND(A35,4)</f>
        <v>0.64119999999999999</v>
      </c>
      <c r="B48" s="58">
        <f t="shared" si="57"/>
        <v>0.52149999999999996</v>
      </c>
      <c r="C48" s="58">
        <f t="shared" si="57"/>
        <v>0.55910000000000004</v>
      </c>
      <c r="D48" s="58">
        <f t="shared" si="57"/>
        <v>1</v>
      </c>
      <c r="E48" s="58">
        <f t="shared" si="57"/>
        <v>0.2918</v>
      </c>
      <c r="F48" s="58">
        <f t="shared" si="57"/>
        <v>1</v>
      </c>
      <c r="G48" s="58">
        <f t="shared" si="57"/>
        <v>0.20499999999999999</v>
      </c>
      <c r="H48" s="59">
        <f t="shared" si="57"/>
        <v>0.19869999999999999</v>
      </c>
      <c r="I48" s="59">
        <f t="shared" si="57"/>
        <v>0.22320000000000001</v>
      </c>
      <c r="J48" s="59">
        <f t="shared" si="57"/>
        <v>0</v>
      </c>
      <c r="K48" s="59">
        <f t="shared" si="57"/>
        <v>0.85589999999999999</v>
      </c>
      <c r="L48" s="59">
        <f t="shared" si="57"/>
        <v>0.13300000000000001</v>
      </c>
      <c r="M48" s="59">
        <f t="shared" si="57"/>
        <v>0.3831</v>
      </c>
      <c r="N48" s="59">
        <f t="shared" si="57"/>
        <v>0</v>
      </c>
      <c r="O48" s="58">
        <f t="shared" si="57"/>
        <v>0.40379999999999999</v>
      </c>
      <c r="P48" s="58">
        <f t="shared" si="57"/>
        <v>0</v>
      </c>
      <c r="Q48" s="58">
        <f t="shared" si="56"/>
        <v>0</v>
      </c>
      <c r="R48" s="58">
        <f t="shared" si="56"/>
        <v>0</v>
      </c>
      <c r="S48" s="58">
        <f t="shared" si="56"/>
        <v>0</v>
      </c>
      <c r="T48" s="58">
        <f t="shared" si="56"/>
        <v>0</v>
      </c>
      <c r="U48" s="58">
        <f t="shared" si="56"/>
        <v>0.32829999999999998</v>
      </c>
      <c r="V48" s="59">
        <f t="shared" si="56"/>
        <v>9.6100000000000005E-2</v>
      </c>
      <c r="W48" s="59">
        <f t="shared" si="56"/>
        <v>0.27589999999999998</v>
      </c>
      <c r="X48" s="59">
        <f t="shared" si="56"/>
        <v>0</v>
      </c>
      <c r="Y48" s="59">
        <f t="shared" si="56"/>
        <v>1</v>
      </c>
      <c r="Z48" s="59">
        <f t="shared" si="56"/>
        <v>0</v>
      </c>
      <c r="AA48" s="59">
        <f t="shared" si="56"/>
        <v>0</v>
      </c>
      <c r="AB48" s="59">
        <f t="shared" si="56"/>
        <v>0</v>
      </c>
      <c r="AC48" s="58">
        <f t="shared" si="56"/>
        <v>0</v>
      </c>
      <c r="AD48" s="58">
        <f t="shared" si="56"/>
        <v>0</v>
      </c>
      <c r="AE48" s="58">
        <f t="shared" si="56"/>
        <v>0</v>
      </c>
      <c r="AF48" s="58">
        <f t="shared" si="56"/>
        <v>0</v>
      </c>
      <c r="AG48" s="58">
        <f t="shared" si="56"/>
        <v>0</v>
      </c>
      <c r="AH48" s="58">
        <f t="shared" si="56"/>
        <v>0</v>
      </c>
      <c r="AI48" s="58">
        <f t="shared" si="56"/>
        <v>0</v>
      </c>
      <c r="AJ48" s="59">
        <f t="shared" si="56"/>
        <v>0</v>
      </c>
      <c r="AK48" s="59">
        <f t="shared" si="56"/>
        <v>0</v>
      </c>
      <c r="AL48" s="59">
        <f t="shared" si="56"/>
        <v>0</v>
      </c>
      <c r="AM48" s="59">
        <f t="shared" si="56"/>
        <v>0.33029999999999998</v>
      </c>
      <c r="AN48" s="59">
        <f t="shared" si="56"/>
        <v>0</v>
      </c>
      <c r="AO48" s="59">
        <f t="shared" si="56"/>
        <v>8.5900000000000004E-2</v>
      </c>
      <c r="AP48" s="59">
        <f t="shared" si="56"/>
        <v>0</v>
      </c>
      <c r="AQ48" s="58">
        <f t="shared" si="56"/>
        <v>0</v>
      </c>
      <c r="AR48" s="58">
        <f t="shared" si="56"/>
        <v>0</v>
      </c>
      <c r="AS48" s="58">
        <f t="shared" si="56"/>
        <v>0</v>
      </c>
      <c r="AT48" s="58">
        <f t="shared" si="56"/>
        <v>0</v>
      </c>
      <c r="AU48" s="58">
        <f t="shared" si="56"/>
        <v>0</v>
      </c>
      <c r="AV48" s="58">
        <f t="shared" si="56"/>
        <v>0</v>
      </c>
      <c r="AW48" s="58">
        <f t="shared" si="56"/>
        <v>0</v>
      </c>
      <c r="AX48" s="59">
        <f t="shared" si="56"/>
        <v>0.2402</v>
      </c>
      <c r="AY48" s="59">
        <f t="shared" si="56"/>
        <v>0.22320000000000001</v>
      </c>
      <c r="AZ48" s="59">
        <f t="shared" si="56"/>
        <v>0.254</v>
      </c>
      <c r="BA48" s="59">
        <f t="shared" si="56"/>
        <v>0.16120000000000001</v>
      </c>
      <c r="BB48" s="59">
        <f t="shared" si="56"/>
        <v>0.34350000000000003</v>
      </c>
      <c r="BC48" s="59">
        <f t="shared" si="56"/>
        <v>0.60099999999999998</v>
      </c>
      <c r="BD48" s="59">
        <f t="shared" si="56"/>
        <v>0.21820000000000001</v>
      </c>
    </row>
    <row r="49" spans="1:56" x14ac:dyDescent="0.25">
      <c r="A49" s="58">
        <f t="shared" si="57"/>
        <v>0.60360000000000003</v>
      </c>
      <c r="B49" s="58">
        <f t="shared" si="56"/>
        <v>0.48399999999999999</v>
      </c>
      <c r="C49" s="58">
        <f t="shared" si="56"/>
        <v>0.52149999999999996</v>
      </c>
      <c r="D49" s="58">
        <f t="shared" si="56"/>
        <v>1</v>
      </c>
      <c r="E49" s="58">
        <f t="shared" si="56"/>
        <v>0.25430000000000003</v>
      </c>
      <c r="F49" s="58">
        <f t="shared" si="56"/>
        <v>0.97289999999999999</v>
      </c>
      <c r="G49" s="58">
        <f t="shared" si="56"/>
        <v>0.16750000000000001</v>
      </c>
      <c r="H49" s="59">
        <f t="shared" si="56"/>
        <v>0.57420000000000004</v>
      </c>
      <c r="I49" s="59">
        <f t="shared" si="56"/>
        <v>0.59860000000000002</v>
      </c>
      <c r="J49" s="59">
        <f t="shared" si="56"/>
        <v>0.22320000000000001</v>
      </c>
      <c r="K49" s="59">
        <f t="shared" si="56"/>
        <v>1</v>
      </c>
      <c r="L49" s="59">
        <f t="shared" si="56"/>
        <v>0.50849999999999995</v>
      </c>
      <c r="M49" s="59">
        <f t="shared" si="56"/>
        <v>0.75860000000000005</v>
      </c>
      <c r="N49" s="59">
        <f t="shared" si="56"/>
        <v>1.14E-2</v>
      </c>
      <c r="O49" s="58">
        <f t="shared" si="56"/>
        <v>0.30080000000000001</v>
      </c>
      <c r="P49" s="58">
        <f t="shared" si="56"/>
        <v>0</v>
      </c>
      <c r="Q49" s="58">
        <f t="shared" si="56"/>
        <v>0</v>
      </c>
      <c r="R49" s="58">
        <f t="shared" si="56"/>
        <v>0</v>
      </c>
      <c r="S49" s="58">
        <f t="shared" si="56"/>
        <v>0</v>
      </c>
      <c r="T49" s="58">
        <f t="shared" si="56"/>
        <v>0</v>
      </c>
      <c r="U49" s="58">
        <f t="shared" si="56"/>
        <v>0.22520000000000001</v>
      </c>
      <c r="V49" s="59">
        <f t="shared" si="56"/>
        <v>0.48899999999999999</v>
      </c>
      <c r="W49" s="59">
        <f t="shared" si="56"/>
        <v>0.66879999999999995</v>
      </c>
      <c r="X49" s="59">
        <f t="shared" si="56"/>
        <v>0.27589999999999998</v>
      </c>
      <c r="Y49" s="59">
        <f t="shared" si="56"/>
        <v>1</v>
      </c>
      <c r="Z49" s="59">
        <f t="shared" si="56"/>
        <v>0</v>
      </c>
      <c r="AA49" s="59">
        <f t="shared" si="56"/>
        <v>0.2442</v>
      </c>
      <c r="AB49" s="59">
        <f t="shared" si="56"/>
        <v>0.1116</v>
      </c>
      <c r="AC49" s="58">
        <f t="shared" si="56"/>
        <v>0</v>
      </c>
      <c r="AD49" s="58">
        <f t="shared" si="56"/>
        <v>0</v>
      </c>
      <c r="AE49" s="58">
        <f t="shared" si="56"/>
        <v>0</v>
      </c>
      <c r="AF49" s="58">
        <f t="shared" si="56"/>
        <v>0</v>
      </c>
      <c r="AG49" s="58">
        <f t="shared" si="56"/>
        <v>0</v>
      </c>
      <c r="AH49" s="58">
        <f t="shared" si="56"/>
        <v>0</v>
      </c>
      <c r="AI49" s="58">
        <f t="shared" si="56"/>
        <v>0</v>
      </c>
      <c r="AJ49" s="59">
        <f t="shared" si="56"/>
        <v>0</v>
      </c>
      <c r="AK49" s="59">
        <f t="shared" si="56"/>
        <v>0</v>
      </c>
      <c r="AL49" s="59">
        <f t="shared" si="56"/>
        <v>0</v>
      </c>
      <c r="AM49" s="59">
        <f t="shared" si="56"/>
        <v>0.36809999999999998</v>
      </c>
      <c r="AN49" s="59">
        <f t="shared" si="56"/>
        <v>0</v>
      </c>
      <c r="AO49" s="59">
        <f t="shared" si="56"/>
        <v>0.1237</v>
      </c>
      <c r="AP49" s="59">
        <f t="shared" si="56"/>
        <v>0</v>
      </c>
      <c r="AQ49" s="58">
        <f t="shared" si="56"/>
        <v>0</v>
      </c>
      <c r="AR49" s="58">
        <f t="shared" si="56"/>
        <v>0.14099999999999999</v>
      </c>
      <c r="AS49" s="58">
        <f t="shared" si="56"/>
        <v>0</v>
      </c>
      <c r="AT49" s="58">
        <f t="shared" si="56"/>
        <v>0.1026</v>
      </c>
      <c r="AU49" s="58">
        <f t="shared" si="56"/>
        <v>0</v>
      </c>
      <c r="AV49" s="58">
        <f t="shared" si="56"/>
        <v>0</v>
      </c>
      <c r="AW49" s="58">
        <f t="shared" si="56"/>
        <v>0.18429999999999999</v>
      </c>
      <c r="AX49" s="59">
        <f t="shared" si="56"/>
        <v>0.20930000000000001</v>
      </c>
      <c r="AY49" s="59">
        <f t="shared" si="56"/>
        <v>0.1923</v>
      </c>
      <c r="AZ49" s="59">
        <f t="shared" si="56"/>
        <v>0.22320000000000001</v>
      </c>
      <c r="BA49" s="59">
        <f t="shared" si="56"/>
        <v>0.1303</v>
      </c>
      <c r="BB49" s="59">
        <f t="shared" si="56"/>
        <v>0.31259999999999999</v>
      </c>
      <c r="BC49" s="59">
        <f t="shared" si="56"/>
        <v>0.57010000000000005</v>
      </c>
      <c r="BD49" s="59">
        <f t="shared" si="56"/>
        <v>0.18740000000000001</v>
      </c>
    </row>
    <row r="50" spans="1:56" x14ac:dyDescent="0.25">
      <c r="A50" s="58">
        <f t="shared" si="57"/>
        <v>0</v>
      </c>
      <c r="B50" s="58">
        <f t="shared" si="56"/>
        <v>0</v>
      </c>
      <c r="C50" s="58">
        <f t="shared" si="56"/>
        <v>0</v>
      </c>
      <c r="D50" s="58">
        <f t="shared" si="56"/>
        <v>0.52149999999999996</v>
      </c>
      <c r="E50" s="58">
        <f t="shared" si="56"/>
        <v>0</v>
      </c>
      <c r="F50" s="58">
        <f t="shared" si="56"/>
        <v>0.30649999999999999</v>
      </c>
      <c r="G50" s="58">
        <f t="shared" si="56"/>
        <v>0</v>
      </c>
      <c r="H50" s="59">
        <f t="shared" si="56"/>
        <v>0</v>
      </c>
      <c r="I50" s="59">
        <f t="shared" si="56"/>
        <v>0</v>
      </c>
      <c r="J50" s="59">
        <f t="shared" si="56"/>
        <v>0</v>
      </c>
      <c r="K50" s="59">
        <f t="shared" si="56"/>
        <v>0.22320000000000001</v>
      </c>
      <c r="L50" s="59">
        <f t="shared" si="56"/>
        <v>0</v>
      </c>
      <c r="M50" s="59">
        <f t="shared" si="56"/>
        <v>0</v>
      </c>
      <c r="N50" s="59">
        <f t="shared" si="56"/>
        <v>0</v>
      </c>
      <c r="O50" s="58">
        <f t="shared" si="56"/>
        <v>0.51780000000000004</v>
      </c>
      <c r="P50" s="58">
        <f t="shared" si="56"/>
        <v>0</v>
      </c>
      <c r="Q50" s="58">
        <f t="shared" si="56"/>
        <v>0</v>
      </c>
      <c r="R50" s="58">
        <f t="shared" si="56"/>
        <v>0</v>
      </c>
      <c r="S50" s="58">
        <f t="shared" si="56"/>
        <v>0</v>
      </c>
      <c r="T50" s="58">
        <f t="shared" si="56"/>
        <v>0</v>
      </c>
      <c r="U50" s="58">
        <f t="shared" si="56"/>
        <v>0.44230000000000003</v>
      </c>
      <c r="V50" s="59">
        <f t="shared" si="56"/>
        <v>0</v>
      </c>
      <c r="W50" s="59">
        <f t="shared" si="56"/>
        <v>0</v>
      </c>
      <c r="X50" s="59">
        <f t="shared" si="56"/>
        <v>0</v>
      </c>
      <c r="Y50" s="59">
        <f t="shared" si="56"/>
        <v>0.27589999999999998</v>
      </c>
      <c r="Z50" s="59">
        <f t="shared" si="56"/>
        <v>0</v>
      </c>
      <c r="AA50" s="59">
        <f t="shared" si="56"/>
        <v>0</v>
      </c>
      <c r="AB50" s="59">
        <f t="shared" si="56"/>
        <v>0</v>
      </c>
      <c r="AC50" s="58">
        <f t="shared" si="56"/>
        <v>0.36320000000000002</v>
      </c>
      <c r="AD50" s="58">
        <f t="shared" si="56"/>
        <v>1.8700000000000001E-2</v>
      </c>
      <c r="AE50" s="58">
        <f t="shared" si="56"/>
        <v>0</v>
      </c>
      <c r="AF50" s="58">
        <f t="shared" si="56"/>
        <v>0</v>
      </c>
      <c r="AG50" s="58">
        <f t="shared" si="56"/>
        <v>0</v>
      </c>
      <c r="AH50" s="58">
        <f t="shared" si="56"/>
        <v>0</v>
      </c>
      <c r="AI50" s="58">
        <f t="shared" si="56"/>
        <v>0</v>
      </c>
      <c r="AJ50" s="59">
        <f t="shared" si="56"/>
        <v>0</v>
      </c>
      <c r="AK50" s="59">
        <f t="shared" si="56"/>
        <v>0</v>
      </c>
      <c r="AL50" s="59">
        <f t="shared" si="56"/>
        <v>0</v>
      </c>
      <c r="AM50" s="59">
        <f t="shared" si="56"/>
        <v>0</v>
      </c>
      <c r="AN50" s="59">
        <f t="shared" si="56"/>
        <v>0</v>
      </c>
      <c r="AO50" s="59">
        <f t="shared" si="56"/>
        <v>0</v>
      </c>
      <c r="AP50" s="59">
        <f t="shared" si="56"/>
        <v>0</v>
      </c>
      <c r="AQ50" s="58">
        <f t="shared" si="56"/>
        <v>0</v>
      </c>
      <c r="AR50" s="58">
        <f t="shared" si="56"/>
        <v>0</v>
      </c>
      <c r="AS50" s="58">
        <f t="shared" si="56"/>
        <v>0</v>
      </c>
      <c r="AT50" s="58">
        <f t="shared" si="56"/>
        <v>0</v>
      </c>
      <c r="AU50" s="58">
        <f t="shared" si="56"/>
        <v>0</v>
      </c>
      <c r="AV50" s="58">
        <f t="shared" si="56"/>
        <v>0</v>
      </c>
      <c r="AW50" s="58">
        <f t="shared" si="56"/>
        <v>0</v>
      </c>
      <c r="AX50" s="59">
        <f t="shared" si="56"/>
        <v>0.30209999999999998</v>
      </c>
      <c r="AY50" s="59">
        <f t="shared" si="56"/>
        <v>0.28510000000000002</v>
      </c>
      <c r="AZ50" s="59">
        <f t="shared" si="56"/>
        <v>0.316</v>
      </c>
      <c r="BA50" s="59">
        <f t="shared" si="56"/>
        <v>0.22320000000000001</v>
      </c>
      <c r="BB50" s="59">
        <f t="shared" si="56"/>
        <v>0.40539999999999998</v>
      </c>
      <c r="BC50" s="59">
        <f t="shared" si="56"/>
        <v>0.66290000000000004</v>
      </c>
      <c r="BD50" s="59">
        <f t="shared" si="56"/>
        <v>0.2802</v>
      </c>
    </row>
    <row r="51" spans="1:56" x14ac:dyDescent="0.25">
      <c r="A51" s="58">
        <f t="shared" si="57"/>
        <v>0.87090000000000001</v>
      </c>
      <c r="B51" s="58">
        <f t="shared" si="56"/>
        <v>0.75129999999999997</v>
      </c>
      <c r="C51" s="58">
        <f t="shared" si="56"/>
        <v>0.78879999999999995</v>
      </c>
      <c r="D51" s="58">
        <f t="shared" si="56"/>
        <v>1</v>
      </c>
      <c r="E51" s="58">
        <f t="shared" si="56"/>
        <v>0.52149999999999996</v>
      </c>
      <c r="F51" s="58">
        <f t="shared" si="56"/>
        <v>1</v>
      </c>
      <c r="G51" s="58">
        <f t="shared" si="56"/>
        <v>0.43469999999999998</v>
      </c>
      <c r="H51" s="59">
        <f t="shared" si="56"/>
        <v>0.28889999999999999</v>
      </c>
      <c r="I51" s="59">
        <f t="shared" si="56"/>
        <v>0.31330000000000002</v>
      </c>
      <c r="J51" s="59">
        <f t="shared" si="56"/>
        <v>0</v>
      </c>
      <c r="K51" s="59">
        <f t="shared" si="56"/>
        <v>0.94610000000000005</v>
      </c>
      <c r="L51" s="59">
        <f t="shared" si="56"/>
        <v>0.22320000000000001</v>
      </c>
      <c r="M51" s="59">
        <f t="shared" si="56"/>
        <v>0.4733</v>
      </c>
      <c r="N51" s="59">
        <f t="shared" si="56"/>
        <v>0</v>
      </c>
      <c r="O51" s="58">
        <f t="shared" si="56"/>
        <v>0.41930000000000001</v>
      </c>
      <c r="P51" s="58">
        <f t="shared" si="56"/>
        <v>0</v>
      </c>
      <c r="Q51" s="58">
        <f t="shared" si="56"/>
        <v>0</v>
      </c>
      <c r="R51" s="58">
        <f t="shared" si="56"/>
        <v>0</v>
      </c>
      <c r="S51" s="58">
        <f t="shared" si="56"/>
        <v>0</v>
      </c>
      <c r="T51" s="58">
        <f t="shared" si="56"/>
        <v>0</v>
      </c>
      <c r="U51" s="58">
        <f t="shared" si="56"/>
        <v>0.34370000000000001</v>
      </c>
      <c r="V51" s="59">
        <f t="shared" si="56"/>
        <v>0.77029999999999998</v>
      </c>
      <c r="W51" s="59">
        <f t="shared" si="56"/>
        <v>0.95</v>
      </c>
      <c r="X51" s="59">
        <f t="shared" si="56"/>
        <v>0.55710000000000004</v>
      </c>
      <c r="Y51" s="59">
        <f t="shared" si="56"/>
        <v>1</v>
      </c>
      <c r="Z51" s="59">
        <f t="shared" si="56"/>
        <v>0.27589999999999998</v>
      </c>
      <c r="AA51" s="59">
        <f t="shared" si="56"/>
        <v>0.52539999999999998</v>
      </c>
      <c r="AB51" s="59">
        <f t="shared" si="56"/>
        <v>0.39279999999999998</v>
      </c>
      <c r="AC51" s="58">
        <f t="shared" si="56"/>
        <v>0</v>
      </c>
      <c r="AD51" s="58">
        <f t="shared" si="56"/>
        <v>0</v>
      </c>
      <c r="AE51" s="58">
        <f t="shared" si="56"/>
        <v>0</v>
      </c>
      <c r="AF51" s="58">
        <f t="shared" si="56"/>
        <v>0</v>
      </c>
      <c r="AG51" s="58">
        <f t="shared" si="56"/>
        <v>0</v>
      </c>
      <c r="AH51" s="58">
        <f t="shared" si="56"/>
        <v>0</v>
      </c>
      <c r="AI51" s="58">
        <f t="shared" si="56"/>
        <v>0</v>
      </c>
      <c r="AJ51" s="59">
        <f t="shared" si="56"/>
        <v>0</v>
      </c>
      <c r="AK51" s="59">
        <f t="shared" si="56"/>
        <v>0.1191</v>
      </c>
      <c r="AL51" s="59">
        <f t="shared" si="56"/>
        <v>8.1299999999999997E-2</v>
      </c>
      <c r="AM51" s="59">
        <f t="shared" si="56"/>
        <v>0.84570000000000001</v>
      </c>
      <c r="AN51" s="59">
        <f t="shared" si="56"/>
        <v>0</v>
      </c>
      <c r="AO51" s="59">
        <f t="shared" si="56"/>
        <v>0.60129999999999995</v>
      </c>
      <c r="AP51" s="59">
        <f t="shared" si="56"/>
        <v>2.4E-2</v>
      </c>
      <c r="AQ51" s="58">
        <f t="shared" si="56"/>
        <v>0</v>
      </c>
      <c r="AR51" s="58">
        <f t="shared" si="56"/>
        <v>0</v>
      </c>
      <c r="AS51" s="58">
        <f t="shared" si="56"/>
        <v>0</v>
      </c>
      <c r="AT51" s="58">
        <f t="shared" si="56"/>
        <v>0</v>
      </c>
      <c r="AU51" s="58">
        <f t="shared" si="56"/>
        <v>0</v>
      </c>
      <c r="AV51" s="58">
        <f t="shared" si="56"/>
        <v>0</v>
      </c>
      <c r="AW51" s="58">
        <f t="shared" si="56"/>
        <v>0</v>
      </c>
      <c r="AX51" s="59">
        <f t="shared" si="56"/>
        <v>0.11990000000000001</v>
      </c>
      <c r="AY51" s="59">
        <f t="shared" si="56"/>
        <v>0.10290000000000001</v>
      </c>
      <c r="AZ51" s="59">
        <f t="shared" ref="B51:BD53" si="58">ROUND(AZ38,4)</f>
        <v>0.13370000000000001</v>
      </c>
      <c r="BA51" s="59">
        <f t="shared" si="58"/>
        <v>4.0899999999999999E-2</v>
      </c>
      <c r="BB51" s="59">
        <f t="shared" si="58"/>
        <v>0.22320000000000001</v>
      </c>
      <c r="BC51" s="59">
        <f t="shared" si="58"/>
        <v>0.48070000000000002</v>
      </c>
      <c r="BD51" s="59">
        <f t="shared" si="58"/>
        <v>9.7900000000000001E-2</v>
      </c>
    </row>
    <row r="52" spans="1:56" x14ac:dyDescent="0.25">
      <c r="A52" s="58">
        <f t="shared" si="57"/>
        <v>0.15229999999999999</v>
      </c>
      <c r="B52" s="58">
        <f t="shared" si="58"/>
        <v>3.27E-2</v>
      </c>
      <c r="C52" s="58">
        <f t="shared" si="58"/>
        <v>7.0199999999999999E-2</v>
      </c>
      <c r="D52" s="58">
        <f t="shared" si="58"/>
        <v>0.73660000000000003</v>
      </c>
      <c r="E52" s="58">
        <f t="shared" si="58"/>
        <v>0</v>
      </c>
      <c r="F52" s="58">
        <f t="shared" si="58"/>
        <v>0.52149999999999996</v>
      </c>
      <c r="G52" s="58">
        <f t="shared" si="58"/>
        <v>0</v>
      </c>
      <c r="H52" s="59">
        <f t="shared" si="58"/>
        <v>3.8800000000000001E-2</v>
      </c>
      <c r="I52" s="59">
        <f t="shared" si="58"/>
        <v>6.3200000000000006E-2</v>
      </c>
      <c r="J52" s="59">
        <f t="shared" si="58"/>
        <v>0</v>
      </c>
      <c r="K52" s="59">
        <f t="shared" si="58"/>
        <v>0.69589999999999996</v>
      </c>
      <c r="L52" s="59">
        <f t="shared" si="58"/>
        <v>0</v>
      </c>
      <c r="M52" s="59">
        <f t="shared" si="58"/>
        <v>0.22320000000000001</v>
      </c>
      <c r="N52" s="59">
        <f t="shared" si="58"/>
        <v>0</v>
      </c>
      <c r="O52" s="58">
        <f t="shared" si="58"/>
        <v>0.30220000000000002</v>
      </c>
      <c r="P52" s="58">
        <f t="shared" si="58"/>
        <v>0</v>
      </c>
      <c r="Q52" s="58">
        <f t="shared" si="58"/>
        <v>0</v>
      </c>
      <c r="R52" s="58">
        <f t="shared" si="58"/>
        <v>0</v>
      </c>
      <c r="S52" s="58">
        <f t="shared" si="58"/>
        <v>0</v>
      </c>
      <c r="T52" s="58">
        <f t="shared" si="58"/>
        <v>0</v>
      </c>
      <c r="U52" s="58">
        <f t="shared" si="58"/>
        <v>0.2266</v>
      </c>
      <c r="V52" s="59">
        <f t="shared" si="58"/>
        <v>0.52070000000000005</v>
      </c>
      <c r="W52" s="59">
        <f t="shared" si="58"/>
        <v>0.70050000000000001</v>
      </c>
      <c r="X52" s="59">
        <f t="shared" si="58"/>
        <v>0.30759999999999998</v>
      </c>
      <c r="Y52" s="59">
        <f t="shared" si="58"/>
        <v>1</v>
      </c>
      <c r="Z52" s="59">
        <f t="shared" si="58"/>
        <v>2.64E-2</v>
      </c>
      <c r="AA52" s="59">
        <f t="shared" si="58"/>
        <v>0.27589999999999998</v>
      </c>
      <c r="AB52" s="59">
        <f t="shared" si="58"/>
        <v>0.14330000000000001</v>
      </c>
      <c r="AC52" s="58">
        <f t="shared" si="58"/>
        <v>0.2079</v>
      </c>
      <c r="AD52" s="58">
        <f t="shared" si="58"/>
        <v>0</v>
      </c>
      <c r="AE52" s="58">
        <f t="shared" si="58"/>
        <v>0</v>
      </c>
      <c r="AF52" s="58">
        <f t="shared" si="58"/>
        <v>0</v>
      </c>
      <c r="AG52" s="58">
        <f t="shared" si="58"/>
        <v>0</v>
      </c>
      <c r="AH52" s="58">
        <f t="shared" si="58"/>
        <v>0</v>
      </c>
      <c r="AI52" s="58">
        <f t="shared" si="58"/>
        <v>0</v>
      </c>
      <c r="AJ52" s="59">
        <f t="shared" si="58"/>
        <v>0</v>
      </c>
      <c r="AK52" s="59">
        <f t="shared" si="58"/>
        <v>0</v>
      </c>
      <c r="AL52" s="59">
        <f t="shared" si="58"/>
        <v>0</v>
      </c>
      <c r="AM52" s="59">
        <f t="shared" si="58"/>
        <v>0</v>
      </c>
      <c r="AN52" s="59">
        <f t="shared" si="58"/>
        <v>0</v>
      </c>
      <c r="AO52" s="59">
        <f t="shared" si="58"/>
        <v>0</v>
      </c>
      <c r="AP52" s="59">
        <f t="shared" si="58"/>
        <v>0</v>
      </c>
      <c r="AQ52" s="58">
        <f t="shared" si="58"/>
        <v>0</v>
      </c>
      <c r="AR52" s="58">
        <f t="shared" si="58"/>
        <v>0.1145</v>
      </c>
      <c r="AS52" s="58">
        <f t="shared" si="58"/>
        <v>0</v>
      </c>
      <c r="AT52" s="58">
        <f t="shared" si="58"/>
        <v>7.6100000000000001E-2</v>
      </c>
      <c r="AU52" s="58">
        <f t="shared" si="58"/>
        <v>0</v>
      </c>
      <c r="AV52" s="58">
        <f t="shared" si="58"/>
        <v>0</v>
      </c>
      <c r="AW52" s="58">
        <f t="shared" si="58"/>
        <v>0.1578</v>
      </c>
      <c r="AX52" s="59">
        <f t="shared" si="58"/>
        <v>0</v>
      </c>
      <c r="AY52" s="59">
        <f t="shared" si="58"/>
        <v>0</v>
      </c>
      <c r="AZ52" s="59">
        <f t="shared" si="58"/>
        <v>0</v>
      </c>
      <c r="BA52" s="59">
        <f t="shared" si="58"/>
        <v>0</v>
      </c>
      <c r="BB52" s="59">
        <f t="shared" si="58"/>
        <v>0</v>
      </c>
      <c r="BC52" s="59">
        <f t="shared" si="58"/>
        <v>0.22320000000000001</v>
      </c>
      <c r="BD52" s="59">
        <f t="shared" si="58"/>
        <v>0</v>
      </c>
    </row>
    <row r="53" spans="1:56" x14ac:dyDescent="0.25">
      <c r="A53" s="58">
        <f t="shared" si="57"/>
        <v>0.9577</v>
      </c>
      <c r="B53" s="58">
        <f t="shared" si="58"/>
        <v>0.83809999999999996</v>
      </c>
      <c r="C53" s="58">
        <f t="shared" si="58"/>
        <v>0.87560000000000004</v>
      </c>
      <c r="D53" s="58">
        <f t="shared" si="58"/>
        <v>1</v>
      </c>
      <c r="E53" s="58">
        <f t="shared" si="58"/>
        <v>0.60829999999999995</v>
      </c>
      <c r="F53" s="58">
        <f t="shared" si="58"/>
        <v>1</v>
      </c>
      <c r="G53" s="58">
        <f t="shared" si="58"/>
        <v>0.52149999999999996</v>
      </c>
      <c r="H53" s="59">
        <f t="shared" si="58"/>
        <v>0.78600000000000003</v>
      </c>
      <c r="I53" s="59">
        <f t="shared" si="58"/>
        <v>0.81040000000000001</v>
      </c>
      <c r="J53" s="59">
        <f t="shared" si="58"/>
        <v>0.43490000000000001</v>
      </c>
      <c r="K53" s="59">
        <f t="shared" si="58"/>
        <v>1</v>
      </c>
      <c r="L53" s="59">
        <f t="shared" si="58"/>
        <v>0.72019999999999995</v>
      </c>
      <c r="M53" s="59">
        <f t="shared" si="58"/>
        <v>0.97040000000000004</v>
      </c>
      <c r="N53" s="59">
        <f t="shared" si="58"/>
        <v>0.22320000000000001</v>
      </c>
      <c r="O53" s="58">
        <f t="shared" si="58"/>
        <v>0</v>
      </c>
      <c r="P53" s="58">
        <f t="shared" si="58"/>
        <v>0</v>
      </c>
      <c r="Q53" s="58">
        <f t="shared" si="58"/>
        <v>0</v>
      </c>
      <c r="R53" s="58">
        <f t="shared" si="58"/>
        <v>0</v>
      </c>
      <c r="S53" s="58">
        <f t="shared" si="58"/>
        <v>0</v>
      </c>
      <c r="T53" s="58">
        <f t="shared" si="58"/>
        <v>0</v>
      </c>
      <c r="U53" s="58">
        <f t="shared" si="58"/>
        <v>0</v>
      </c>
      <c r="V53" s="59">
        <f t="shared" si="58"/>
        <v>0.65339999999999998</v>
      </c>
      <c r="W53" s="59">
        <f t="shared" si="58"/>
        <v>0.83309999999999995</v>
      </c>
      <c r="X53" s="59">
        <f t="shared" si="58"/>
        <v>0.44019999999999998</v>
      </c>
      <c r="Y53" s="59">
        <f t="shared" si="58"/>
        <v>1</v>
      </c>
      <c r="Z53" s="59">
        <f t="shared" si="58"/>
        <v>0.159</v>
      </c>
      <c r="AA53" s="59">
        <f t="shared" si="58"/>
        <v>0.40849999999999997</v>
      </c>
      <c r="AB53" s="59">
        <f t="shared" si="58"/>
        <v>0.27589999999999998</v>
      </c>
      <c r="AC53" s="58">
        <f t="shared" si="58"/>
        <v>0.31130000000000002</v>
      </c>
      <c r="AD53" s="58">
        <f t="shared" si="58"/>
        <v>0</v>
      </c>
      <c r="AE53" s="58">
        <f t="shared" si="58"/>
        <v>0</v>
      </c>
      <c r="AF53" s="58">
        <f t="shared" si="58"/>
        <v>0</v>
      </c>
      <c r="AG53" s="58">
        <f t="shared" si="58"/>
        <v>0</v>
      </c>
      <c r="AH53" s="58">
        <f t="shared" si="58"/>
        <v>0</v>
      </c>
      <c r="AI53" s="58">
        <f t="shared" si="58"/>
        <v>0</v>
      </c>
      <c r="AJ53" s="59">
        <f t="shared" si="58"/>
        <v>0</v>
      </c>
      <c r="AK53" s="59">
        <f t="shared" si="58"/>
        <v>0</v>
      </c>
      <c r="AL53" s="59">
        <f t="shared" si="58"/>
        <v>0</v>
      </c>
      <c r="AM53" s="59">
        <f t="shared" si="58"/>
        <v>0.4254</v>
      </c>
      <c r="AN53" s="59">
        <f t="shared" si="58"/>
        <v>0</v>
      </c>
      <c r="AO53" s="59">
        <f t="shared" si="58"/>
        <v>0.18099999999999999</v>
      </c>
      <c r="AP53" s="59">
        <f t="shared" si="58"/>
        <v>0</v>
      </c>
      <c r="AQ53" s="58">
        <f t="shared" si="58"/>
        <v>0</v>
      </c>
      <c r="AR53" s="58">
        <f t="shared" si="58"/>
        <v>0</v>
      </c>
      <c r="AS53" s="58">
        <f t="shared" si="58"/>
        <v>0</v>
      </c>
      <c r="AT53" s="58">
        <f t="shared" si="58"/>
        <v>0</v>
      </c>
      <c r="AU53" s="58">
        <f t="shared" si="58"/>
        <v>0</v>
      </c>
      <c r="AV53" s="58">
        <f t="shared" si="58"/>
        <v>0</v>
      </c>
      <c r="AW53" s="58">
        <f t="shared" si="58"/>
        <v>0</v>
      </c>
      <c r="AX53" s="59">
        <f t="shared" si="58"/>
        <v>0.24510000000000001</v>
      </c>
      <c r="AY53" s="59">
        <f t="shared" si="58"/>
        <v>0.2281</v>
      </c>
      <c r="AZ53" s="59">
        <f t="shared" si="58"/>
        <v>0.25890000000000002</v>
      </c>
      <c r="BA53" s="59">
        <f t="shared" si="58"/>
        <v>0.1661</v>
      </c>
      <c r="BB53" s="59">
        <f t="shared" si="58"/>
        <v>0.34839999999999999</v>
      </c>
      <c r="BC53" s="59">
        <f t="shared" si="58"/>
        <v>0.60589999999999999</v>
      </c>
      <c r="BD53" s="59">
        <f t="shared" si="58"/>
        <v>0.22320000000000001</v>
      </c>
    </row>
    <row r="57" spans="1:56" x14ac:dyDescent="0.25">
      <c r="A57" s="89" t="s">
        <v>195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</row>
    <row r="58" spans="1:56" x14ac:dyDescent="0.25">
      <c r="A58" s="11">
        <v>1</v>
      </c>
      <c r="B58" s="11">
        <v>2</v>
      </c>
      <c r="C58" s="11">
        <v>3</v>
      </c>
      <c r="D58" s="11">
        <v>4</v>
      </c>
      <c r="E58" s="11">
        <v>5</v>
      </c>
      <c r="F58" s="11">
        <v>6</v>
      </c>
      <c r="G58" s="11">
        <v>7</v>
      </c>
      <c r="H58" s="11">
        <v>1</v>
      </c>
      <c r="I58" s="11">
        <v>2</v>
      </c>
      <c r="J58" s="11">
        <v>3</v>
      </c>
      <c r="K58" s="11">
        <v>4</v>
      </c>
      <c r="L58" s="11">
        <v>5</v>
      </c>
      <c r="M58" s="11">
        <v>6</v>
      </c>
      <c r="N58" s="11">
        <v>7</v>
      </c>
      <c r="O58" s="11">
        <v>1</v>
      </c>
      <c r="P58" s="11">
        <v>2</v>
      </c>
      <c r="Q58" s="11">
        <v>3</v>
      </c>
      <c r="R58" s="11">
        <v>4</v>
      </c>
      <c r="S58" s="11">
        <v>5</v>
      </c>
      <c r="T58" s="11">
        <v>6</v>
      </c>
      <c r="U58" s="11">
        <v>7</v>
      </c>
      <c r="V58" s="11">
        <v>1</v>
      </c>
      <c r="W58" s="11">
        <v>2</v>
      </c>
      <c r="X58" s="11">
        <v>3</v>
      </c>
      <c r="Y58" s="11">
        <v>4</v>
      </c>
      <c r="Z58" s="11">
        <v>5</v>
      </c>
      <c r="AA58" s="11">
        <v>6</v>
      </c>
      <c r="AB58" s="11">
        <v>7</v>
      </c>
      <c r="AC58" s="11">
        <v>1</v>
      </c>
      <c r="AD58" s="11">
        <v>2</v>
      </c>
      <c r="AE58" s="11">
        <v>3</v>
      </c>
      <c r="AF58" s="11">
        <v>4</v>
      </c>
      <c r="AG58" s="11">
        <v>5</v>
      </c>
      <c r="AH58" s="11">
        <v>6</v>
      </c>
      <c r="AI58" s="11">
        <v>7</v>
      </c>
      <c r="AJ58" s="11">
        <v>1</v>
      </c>
      <c r="AK58" s="11">
        <v>2</v>
      </c>
      <c r="AL58" s="11">
        <v>3</v>
      </c>
      <c r="AM58" s="11">
        <v>4</v>
      </c>
      <c r="AN58" s="11">
        <v>5</v>
      </c>
      <c r="AO58" s="11">
        <v>6</v>
      </c>
      <c r="AP58" s="11">
        <v>7</v>
      </c>
      <c r="AQ58" s="11">
        <v>1</v>
      </c>
      <c r="AR58" s="11">
        <v>2</v>
      </c>
      <c r="AS58" s="11">
        <v>3</v>
      </c>
      <c r="AT58" s="11">
        <v>4</v>
      </c>
      <c r="AU58" s="11">
        <v>5</v>
      </c>
      <c r="AV58" s="11">
        <v>6</v>
      </c>
      <c r="AW58" s="11">
        <v>7</v>
      </c>
      <c r="AX58" s="11">
        <v>1</v>
      </c>
      <c r="AY58" s="11">
        <v>2</v>
      </c>
      <c r="AZ58" s="11">
        <v>3</v>
      </c>
      <c r="BA58" s="11">
        <v>4</v>
      </c>
      <c r="BB58" s="11">
        <v>5</v>
      </c>
      <c r="BC58" s="11">
        <v>6</v>
      </c>
      <c r="BD58" s="11">
        <v>7</v>
      </c>
    </row>
    <row r="59" spans="1:56" x14ac:dyDescent="0.25">
      <c r="A59" s="113" t="s">
        <v>196</v>
      </c>
      <c r="B59" s="113"/>
      <c r="C59" s="113"/>
      <c r="D59" s="113"/>
      <c r="E59" s="113"/>
      <c r="F59" s="113"/>
      <c r="G59" s="113"/>
      <c r="H59" s="113" t="s">
        <v>197</v>
      </c>
      <c r="I59" s="113"/>
      <c r="J59" s="113"/>
      <c r="K59" s="113"/>
      <c r="L59" s="113"/>
      <c r="M59" s="113"/>
      <c r="N59" s="113"/>
      <c r="O59" s="113" t="s">
        <v>198</v>
      </c>
      <c r="P59" s="113"/>
      <c r="Q59" s="113"/>
      <c r="R59" s="113"/>
      <c r="S59" s="113"/>
      <c r="T59" s="113"/>
      <c r="U59" s="113"/>
      <c r="V59" s="113" t="s">
        <v>199</v>
      </c>
      <c r="W59" s="113"/>
      <c r="X59" s="113"/>
      <c r="Y59" s="113"/>
      <c r="Z59" s="113"/>
      <c r="AA59" s="113"/>
      <c r="AB59" s="113"/>
      <c r="AC59" s="113" t="s">
        <v>200</v>
      </c>
      <c r="AD59" s="113"/>
      <c r="AE59" s="113"/>
      <c r="AF59" s="113"/>
      <c r="AG59" s="113"/>
      <c r="AH59" s="113"/>
      <c r="AI59" s="113"/>
      <c r="AJ59" s="113" t="s">
        <v>201</v>
      </c>
      <c r="AK59" s="113"/>
      <c r="AL59" s="113"/>
      <c r="AM59" s="113"/>
      <c r="AN59" s="113"/>
      <c r="AO59" s="113"/>
      <c r="AP59" s="113"/>
      <c r="AQ59" s="113" t="s">
        <v>202</v>
      </c>
      <c r="AR59" s="113"/>
      <c r="AS59" s="113"/>
      <c r="AT59" s="113"/>
      <c r="AU59" s="113"/>
      <c r="AV59" s="113"/>
      <c r="AW59" s="113"/>
      <c r="AX59" s="113" t="s">
        <v>203</v>
      </c>
      <c r="AY59" s="113"/>
      <c r="AZ59" s="113"/>
      <c r="BA59" s="113"/>
      <c r="BB59" s="113"/>
      <c r="BC59" s="113"/>
      <c r="BD59" s="113"/>
    </row>
    <row r="60" spans="1:56" x14ac:dyDescent="0.25">
      <c r="A60" s="80">
        <v>0.52149999999999996</v>
      </c>
      <c r="B60" s="80">
        <v>0.40189999999999998</v>
      </c>
      <c r="C60" s="80">
        <v>0.43940000000000001</v>
      </c>
      <c r="D60" s="80">
        <v>1</v>
      </c>
      <c r="E60" s="80">
        <v>0.17219999999999999</v>
      </c>
      <c r="F60" s="80">
        <v>0.89080000000000004</v>
      </c>
      <c r="G60" s="80">
        <v>8.5400000000000004E-2</v>
      </c>
      <c r="H60" s="80">
        <v>0.22320000000000001</v>
      </c>
      <c r="I60" s="80">
        <v>0.24759999999999999</v>
      </c>
      <c r="J60" s="80">
        <v>0</v>
      </c>
      <c r="K60" s="80">
        <v>0.88029999999999997</v>
      </c>
      <c r="L60" s="80">
        <v>0.15740000000000001</v>
      </c>
      <c r="M60" s="80">
        <v>0.40749999999999997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0.27589999999999998</v>
      </c>
      <c r="W60" s="80">
        <v>0.45569999999999999</v>
      </c>
      <c r="X60" s="80">
        <v>6.2799999999999995E-2</v>
      </c>
      <c r="Y60" s="80">
        <v>1</v>
      </c>
      <c r="Z60" s="80">
        <v>0</v>
      </c>
      <c r="AA60" s="80">
        <v>3.1099999999999999E-2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80">
        <v>0</v>
      </c>
      <c r="AH60" s="80">
        <v>0</v>
      </c>
      <c r="AI60" s="80">
        <v>0</v>
      </c>
      <c r="AJ60" s="80">
        <v>0</v>
      </c>
      <c r="AK60" s="80">
        <v>0</v>
      </c>
      <c r="AL60" s="80">
        <v>0</v>
      </c>
      <c r="AM60" s="80">
        <v>0.61350000000000005</v>
      </c>
      <c r="AN60" s="80">
        <v>0</v>
      </c>
      <c r="AO60" s="80">
        <v>0.36899999999999999</v>
      </c>
      <c r="AP60" s="80">
        <v>0</v>
      </c>
      <c r="AQ60" s="80">
        <v>0</v>
      </c>
      <c r="AR60" s="80">
        <v>0.2349</v>
      </c>
      <c r="AS60" s="80">
        <v>0</v>
      </c>
      <c r="AT60" s="80">
        <v>0.19650000000000001</v>
      </c>
      <c r="AU60" s="80">
        <v>2.1899999999999999E-2</v>
      </c>
      <c r="AV60" s="80">
        <v>0</v>
      </c>
      <c r="AW60" s="80">
        <v>0.2782</v>
      </c>
      <c r="AX60" s="80">
        <v>0.22320000000000001</v>
      </c>
      <c r="AY60" s="80">
        <v>0.20610000000000001</v>
      </c>
      <c r="AZ60" s="80">
        <v>0.23699999999999999</v>
      </c>
      <c r="BA60" s="80">
        <v>0.14419999999999999</v>
      </c>
      <c r="BB60" s="80">
        <v>0.32640000000000002</v>
      </c>
      <c r="BC60" s="80">
        <v>0.58389999999999997</v>
      </c>
      <c r="BD60" s="80">
        <v>0.20119999999999999</v>
      </c>
    </row>
    <row r="61" spans="1:56" x14ac:dyDescent="0.25">
      <c r="A61" s="80">
        <v>0.64119999999999999</v>
      </c>
      <c r="B61" s="80">
        <v>0.52149999999999996</v>
      </c>
      <c r="C61" s="80">
        <v>0.55910000000000004</v>
      </c>
      <c r="D61" s="80">
        <v>1</v>
      </c>
      <c r="E61" s="80">
        <v>0.2918</v>
      </c>
      <c r="F61" s="80">
        <v>1</v>
      </c>
      <c r="G61" s="80">
        <v>0.20499999999999999</v>
      </c>
      <c r="H61" s="80">
        <v>0.19869999999999999</v>
      </c>
      <c r="I61" s="80">
        <v>0.22320000000000001</v>
      </c>
      <c r="J61" s="80">
        <v>0</v>
      </c>
      <c r="K61" s="80">
        <v>0.85589999999999999</v>
      </c>
      <c r="L61" s="80">
        <v>0.13300000000000001</v>
      </c>
      <c r="M61" s="80">
        <v>0.3831</v>
      </c>
      <c r="N61" s="80">
        <v>0</v>
      </c>
      <c r="O61" s="80">
        <v>0.40379999999999999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0.32829999999999998</v>
      </c>
      <c r="V61" s="80">
        <v>9.6100000000000005E-2</v>
      </c>
      <c r="W61" s="80">
        <v>0.27589999999999998</v>
      </c>
      <c r="X61" s="80">
        <v>0</v>
      </c>
      <c r="Y61" s="80">
        <v>1</v>
      </c>
      <c r="Z61" s="80">
        <v>0</v>
      </c>
      <c r="AA61" s="80">
        <v>0</v>
      </c>
      <c r="AB61" s="80">
        <v>0</v>
      </c>
      <c r="AC61" s="80">
        <v>0</v>
      </c>
      <c r="AD61" s="80">
        <v>0</v>
      </c>
      <c r="AE61" s="80">
        <v>0</v>
      </c>
      <c r="AF61" s="80">
        <v>0</v>
      </c>
      <c r="AG61" s="80">
        <v>0</v>
      </c>
      <c r="AH61" s="80">
        <v>0</v>
      </c>
      <c r="AI61" s="80">
        <v>0</v>
      </c>
      <c r="AJ61" s="80">
        <v>0</v>
      </c>
      <c r="AK61" s="80">
        <v>0</v>
      </c>
      <c r="AL61" s="80">
        <v>0</v>
      </c>
      <c r="AM61" s="80">
        <v>0.33029999999999998</v>
      </c>
      <c r="AN61" s="80">
        <v>0</v>
      </c>
      <c r="AO61" s="80">
        <v>8.5900000000000004E-2</v>
      </c>
      <c r="AP61" s="80">
        <v>0</v>
      </c>
      <c r="AQ61" s="80">
        <v>0</v>
      </c>
      <c r="AR61" s="80">
        <v>0</v>
      </c>
      <c r="AS61" s="80">
        <v>0</v>
      </c>
      <c r="AT61" s="80">
        <v>0</v>
      </c>
      <c r="AU61" s="80">
        <v>0</v>
      </c>
      <c r="AV61" s="80">
        <v>0</v>
      </c>
      <c r="AW61" s="80">
        <v>0</v>
      </c>
      <c r="AX61" s="80">
        <v>0.2402</v>
      </c>
      <c r="AY61" s="80">
        <v>0.22320000000000001</v>
      </c>
      <c r="AZ61" s="80">
        <v>0.254</v>
      </c>
      <c r="BA61" s="80">
        <v>0.16120000000000001</v>
      </c>
      <c r="BB61" s="80">
        <v>0.34350000000000003</v>
      </c>
      <c r="BC61" s="80">
        <v>0.60099999999999998</v>
      </c>
      <c r="BD61" s="80">
        <v>0.21820000000000001</v>
      </c>
    </row>
    <row r="62" spans="1:56" x14ac:dyDescent="0.25">
      <c r="A62" s="80">
        <v>0.60360000000000003</v>
      </c>
      <c r="B62" s="80">
        <v>0.48399999999999999</v>
      </c>
      <c r="C62" s="80">
        <v>0.52149999999999996</v>
      </c>
      <c r="D62" s="80">
        <v>1</v>
      </c>
      <c r="E62" s="80">
        <v>0.25430000000000003</v>
      </c>
      <c r="F62" s="80">
        <v>0.97289999999999999</v>
      </c>
      <c r="G62" s="80">
        <v>0.16750000000000001</v>
      </c>
      <c r="H62" s="80">
        <v>0.57420000000000004</v>
      </c>
      <c r="I62" s="80">
        <v>0.59860000000000002</v>
      </c>
      <c r="J62" s="80">
        <v>0.22320000000000001</v>
      </c>
      <c r="K62" s="80">
        <v>1</v>
      </c>
      <c r="L62" s="80">
        <v>0.50849999999999995</v>
      </c>
      <c r="M62" s="80">
        <v>0.75860000000000005</v>
      </c>
      <c r="N62" s="80">
        <v>1.14E-2</v>
      </c>
      <c r="O62" s="80">
        <v>0.30080000000000001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0.22520000000000001</v>
      </c>
      <c r="V62" s="80">
        <v>0.48899999999999999</v>
      </c>
      <c r="W62" s="80">
        <v>0.66879999999999995</v>
      </c>
      <c r="X62" s="80">
        <v>0.27589999999999998</v>
      </c>
      <c r="Y62" s="80">
        <v>1</v>
      </c>
      <c r="Z62" s="80">
        <v>0</v>
      </c>
      <c r="AA62" s="80">
        <v>0.2442</v>
      </c>
      <c r="AB62" s="80">
        <v>0.1116</v>
      </c>
      <c r="AC62" s="80">
        <v>0</v>
      </c>
      <c r="AD62" s="80">
        <v>0</v>
      </c>
      <c r="AE62" s="80">
        <v>0</v>
      </c>
      <c r="AF62" s="80">
        <v>0</v>
      </c>
      <c r="AG62" s="80">
        <v>0</v>
      </c>
      <c r="AH62" s="80">
        <v>0</v>
      </c>
      <c r="AI62" s="80">
        <v>0</v>
      </c>
      <c r="AJ62" s="80">
        <v>0</v>
      </c>
      <c r="AK62" s="80">
        <v>0</v>
      </c>
      <c r="AL62" s="80">
        <v>0</v>
      </c>
      <c r="AM62" s="80">
        <v>0.36809999999999998</v>
      </c>
      <c r="AN62" s="80">
        <v>0</v>
      </c>
      <c r="AO62" s="80">
        <v>0.1237</v>
      </c>
      <c r="AP62" s="80">
        <v>0</v>
      </c>
      <c r="AQ62" s="80">
        <v>0</v>
      </c>
      <c r="AR62" s="80">
        <v>0.14099999999999999</v>
      </c>
      <c r="AS62" s="80">
        <v>0</v>
      </c>
      <c r="AT62" s="80">
        <v>0.1026</v>
      </c>
      <c r="AU62" s="80">
        <v>0</v>
      </c>
      <c r="AV62" s="80">
        <v>0</v>
      </c>
      <c r="AW62" s="80">
        <v>0.18429999999999999</v>
      </c>
      <c r="AX62" s="80">
        <v>0.20930000000000001</v>
      </c>
      <c r="AY62" s="80">
        <v>0.1923</v>
      </c>
      <c r="AZ62" s="80">
        <v>0.22320000000000001</v>
      </c>
      <c r="BA62" s="80">
        <v>0.1303</v>
      </c>
      <c r="BB62" s="80">
        <v>0.31259999999999999</v>
      </c>
      <c r="BC62" s="80">
        <v>0.57010000000000005</v>
      </c>
      <c r="BD62" s="80">
        <v>0.18740000000000001</v>
      </c>
    </row>
    <row r="63" spans="1:56" x14ac:dyDescent="0.25">
      <c r="A63" s="80">
        <v>0</v>
      </c>
      <c r="B63" s="80">
        <v>0</v>
      </c>
      <c r="C63" s="80">
        <v>0</v>
      </c>
      <c r="D63" s="80">
        <v>0.52149999999999996</v>
      </c>
      <c r="E63" s="80">
        <v>0</v>
      </c>
      <c r="F63" s="80">
        <v>0.30649999999999999</v>
      </c>
      <c r="G63" s="80">
        <v>0</v>
      </c>
      <c r="H63" s="80">
        <v>0</v>
      </c>
      <c r="I63" s="80">
        <v>0</v>
      </c>
      <c r="J63" s="80">
        <v>0</v>
      </c>
      <c r="K63" s="80">
        <v>0.22320000000000001</v>
      </c>
      <c r="L63" s="80">
        <v>0</v>
      </c>
      <c r="M63" s="80">
        <v>0</v>
      </c>
      <c r="N63" s="80">
        <v>0</v>
      </c>
      <c r="O63" s="80">
        <v>0.51780000000000004</v>
      </c>
      <c r="P63" s="80">
        <v>0</v>
      </c>
      <c r="Q63" s="80">
        <v>0</v>
      </c>
      <c r="R63" s="80">
        <v>0</v>
      </c>
      <c r="S63" s="80">
        <v>0</v>
      </c>
      <c r="T63" s="80">
        <v>0</v>
      </c>
      <c r="U63" s="80">
        <v>0.44230000000000003</v>
      </c>
      <c r="V63" s="80">
        <v>0</v>
      </c>
      <c r="W63" s="80">
        <v>0</v>
      </c>
      <c r="X63" s="80">
        <v>0</v>
      </c>
      <c r="Y63" s="80">
        <v>0.27589999999999998</v>
      </c>
      <c r="Z63" s="80">
        <v>0</v>
      </c>
      <c r="AA63" s="80">
        <v>0</v>
      </c>
      <c r="AB63" s="80">
        <v>0</v>
      </c>
      <c r="AC63" s="80">
        <v>0.36320000000000002</v>
      </c>
      <c r="AD63" s="80">
        <v>1.8700000000000001E-2</v>
      </c>
      <c r="AE63" s="80">
        <v>0</v>
      </c>
      <c r="AF63" s="80">
        <v>0</v>
      </c>
      <c r="AG63" s="80">
        <v>0</v>
      </c>
      <c r="AH63" s="80">
        <v>0</v>
      </c>
      <c r="AI63" s="80">
        <v>0</v>
      </c>
      <c r="AJ63" s="80">
        <v>0</v>
      </c>
      <c r="AK63" s="80">
        <v>0</v>
      </c>
      <c r="AL63" s="80">
        <v>0</v>
      </c>
      <c r="AM63" s="80">
        <v>0</v>
      </c>
      <c r="AN63" s="80">
        <v>0</v>
      </c>
      <c r="AO63" s="80">
        <v>0</v>
      </c>
      <c r="AP63" s="80">
        <v>0</v>
      </c>
      <c r="AQ63" s="80">
        <v>0</v>
      </c>
      <c r="AR63" s="80">
        <v>0</v>
      </c>
      <c r="AS63" s="80">
        <v>0</v>
      </c>
      <c r="AT63" s="80">
        <v>0</v>
      </c>
      <c r="AU63" s="80">
        <v>0</v>
      </c>
      <c r="AV63" s="80">
        <v>0</v>
      </c>
      <c r="AW63" s="80">
        <v>0</v>
      </c>
      <c r="AX63" s="80">
        <v>0.30209999999999998</v>
      </c>
      <c r="AY63" s="80">
        <v>0.28510000000000002</v>
      </c>
      <c r="AZ63" s="80">
        <v>0.316</v>
      </c>
      <c r="BA63" s="80">
        <v>0.22320000000000001</v>
      </c>
      <c r="BB63" s="80">
        <v>0.40539999999999998</v>
      </c>
      <c r="BC63" s="80">
        <v>0.66290000000000004</v>
      </c>
      <c r="BD63" s="80">
        <v>0.2802</v>
      </c>
    </row>
    <row r="64" spans="1:56" x14ac:dyDescent="0.25">
      <c r="A64" s="80">
        <v>0.87090000000000001</v>
      </c>
      <c r="B64" s="80">
        <v>0.75129999999999997</v>
      </c>
      <c r="C64" s="80">
        <v>0.78879999999999995</v>
      </c>
      <c r="D64" s="80">
        <v>1</v>
      </c>
      <c r="E64" s="80">
        <v>0.52149999999999996</v>
      </c>
      <c r="F64" s="80">
        <v>1</v>
      </c>
      <c r="G64" s="80">
        <v>0.43469999999999998</v>
      </c>
      <c r="H64" s="80">
        <v>0.28889999999999999</v>
      </c>
      <c r="I64" s="80">
        <v>0.31330000000000002</v>
      </c>
      <c r="J64" s="80">
        <v>0</v>
      </c>
      <c r="K64" s="80">
        <v>0.94610000000000005</v>
      </c>
      <c r="L64" s="80">
        <v>0.22320000000000001</v>
      </c>
      <c r="M64" s="80">
        <v>0.4733</v>
      </c>
      <c r="N64" s="80">
        <v>0</v>
      </c>
      <c r="O64" s="80">
        <v>0.41930000000000001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0.34370000000000001</v>
      </c>
      <c r="V64" s="80">
        <v>0.77029999999999998</v>
      </c>
      <c r="W64" s="80">
        <v>0.95</v>
      </c>
      <c r="X64" s="80">
        <v>0.55710000000000004</v>
      </c>
      <c r="Y64" s="80">
        <v>1</v>
      </c>
      <c r="Z64" s="80">
        <v>0.27589999999999998</v>
      </c>
      <c r="AA64" s="80">
        <v>0.52539999999999998</v>
      </c>
      <c r="AB64" s="80">
        <v>0.39279999999999998</v>
      </c>
      <c r="AC64" s="80">
        <v>0</v>
      </c>
      <c r="AD64" s="80">
        <v>0</v>
      </c>
      <c r="AE64" s="80">
        <v>0</v>
      </c>
      <c r="AF64" s="80">
        <v>0</v>
      </c>
      <c r="AG64" s="80">
        <v>0</v>
      </c>
      <c r="AH64" s="80">
        <v>0</v>
      </c>
      <c r="AI64" s="80">
        <v>0</v>
      </c>
      <c r="AJ64" s="80">
        <v>0</v>
      </c>
      <c r="AK64" s="80">
        <v>0.1191</v>
      </c>
      <c r="AL64" s="80">
        <v>8.1299999999999997E-2</v>
      </c>
      <c r="AM64" s="80">
        <v>0.84570000000000001</v>
      </c>
      <c r="AN64" s="80">
        <v>0</v>
      </c>
      <c r="AO64" s="80">
        <v>0.60129999999999995</v>
      </c>
      <c r="AP64" s="80">
        <v>2.4E-2</v>
      </c>
      <c r="AQ64" s="80">
        <v>0</v>
      </c>
      <c r="AR64" s="80">
        <v>0</v>
      </c>
      <c r="AS64" s="80">
        <v>0</v>
      </c>
      <c r="AT64" s="80">
        <v>0</v>
      </c>
      <c r="AU64" s="80">
        <v>0</v>
      </c>
      <c r="AV64" s="80">
        <v>0</v>
      </c>
      <c r="AW64" s="80">
        <v>0</v>
      </c>
      <c r="AX64" s="80">
        <v>0.11990000000000001</v>
      </c>
      <c r="AY64" s="80">
        <v>0.10290000000000001</v>
      </c>
      <c r="AZ64" s="80">
        <v>0.13370000000000001</v>
      </c>
      <c r="BA64" s="80">
        <v>4.0899999999999999E-2</v>
      </c>
      <c r="BB64" s="80">
        <v>0.22320000000000001</v>
      </c>
      <c r="BC64" s="80">
        <v>0.48070000000000002</v>
      </c>
      <c r="BD64" s="80">
        <v>9.7900000000000001E-2</v>
      </c>
    </row>
    <row r="65" spans="1:56" x14ac:dyDescent="0.25">
      <c r="A65" s="80">
        <v>0.15229999999999999</v>
      </c>
      <c r="B65" s="80">
        <v>3.27E-2</v>
      </c>
      <c r="C65" s="80">
        <v>7.0199999999999999E-2</v>
      </c>
      <c r="D65" s="80">
        <v>0.73660000000000003</v>
      </c>
      <c r="E65" s="80">
        <v>0</v>
      </c>
      <c r="F65" s="80">
        <v>0.52149999999999996</v>
      </c>
      <c r="G65" s="80">
        <v>0</v>
      </c>
      <c r="H65" s="80">
        <v>3.8800000000000001E-2</v>
      </c>
      <c r="I65" s="80">
        <v>6.3200000000000006E-2</v>
      </c>
      <c r="J65" s="80">
        <v>0</v>
      </c>
      <c r="K65" s="80">
        <v>0.69589999999999996</v>
      </c>
      <c r="L65" s="80">
        <v>0</v>
      </c>
      <c r="M65" s="80">
        <v>0.22320000000000001</v>
      </c>
      <c r="N65" s="80">
        <v>0</v>
      </c>
      <c r="O65" s="80">
        <v>0.30220000000000002</v>
      </c>
      <c r="P65" s="80">
        <v>0</v>
      </c>
      <c r="Q65" s="80">
        <v>0</v>
      </c>
      <c r="R65" s="80">
        <v>0</v>
      </c>
      <c r="S65" s="80">
        <v>0</v>
      </c>
      <c r="T65" s="80">
        <v>0</v>
      </c>
      <c r="U65" s="80">
        <v>0.2266</v>
      </c>
      <c r="V65" s="80">
        <v>0.52070000000000005</v>
      </c>
      <c r="W65" s="80">
        <v>0.70050000000000001</v>
      </c>
      <c r="X65" s="80">
        <v>0.30759999999999998</v>
      </c>
      <c r="Y65" s="80">
        <v>1</v>
      </c>
      <c r="Z65" s="80">
        <v>2.64E-2</v>
      </c>
      <c r="AA65" s="80">
        <v>0.27589999999999998</v>
      </c>
      <c r="AB65" s="80">
        <v>0.14330000000000001</v>
      </c>
      <c r="AC65" s="80">
        <v>0.2079</v>
      </c>
      <c r="AD65" s="80">
        <v>0</v>
      </c>
      <c r="AE65" s="80">
        <v>0</v>
      </c>
      <c r="AF65" s="80">
        <v>0</v>
      </c>
      <c r="AG65" s="80">
        <v>0</v>
      </c>
      <c r="AH65" s="80">
        <v>0</v>
      </c>
      <c r="AI65" s="80">
        <v>0</v>
      </c>
      <c r="AJ65" s="80">
        <v>0</v>
      </c>
      <c r="AK65" s="80">
        <v>0</v>
      </c>
      <c r="AL65" s="80">
        <v>0</v>
      </c>
      <c r="AM65" s="80">
        <v>0</v>
      </c>
      <c r="AN65" s="80">
        <v>0</v>
      </c>
      <c r="AO65" s="80">
        <v>0</v>
      </c>
      <c r="AP65" s="80">
        <v>0</v>
      </c>
      <c r="AQ65" s="80">
        <v>0</v>
      </c>
      <c r="AR65" s="80">
        <v>0.1145</v>
      </c>
      <c r="AS65" s="80">
        <v>0</v>
      </c>
      <c r="AT65" s="80">
        <v>7.6100000000000001E-2</v>
      </c>
      <c r="AU65" s="80">
        <v>0</v>
      </c>
      <c r="AV65" s="80">
        <v>0</v>
      </c>
      <c r="AW65" s="80">
        <v>0.1578</v>
      </c>
      <c r="AX65" s="80">
        <v>0</v>
      </c>
      <c r="AY65" s="80">
        <v>0</v>
      </c>
      <c r="AZ65" s="80">
        <v>0</v>
      </c>
      <c r="BA65" s="80">
        <v>0</v>
      </c>
      <c r="BB65" s="80">
        <v>0</v>
      </c>
      <c r="BC65" s="80">
        <v>0.22320000000000001</v>
      </c>
      <c r="BD65" s="80">
        <v>0</v>
      </c>
    </row>
    <row r="66" spans="1:56" x14ac:dyDescent="0.25">
      <c r="A66" s="58">
        <v>0.9577</v>
      </c>
      <c r="B66" s="58">
        <v>0.83809999999999996</v>
      </c>
      <c r="C66" s="58">
        <v>0.87560000000000004</v>
      </c>
      <c r="D66" s="58">
        <v>1</v>
      </c>
      <c r="E66" s="58">
        <v>0.60829999999999995</v>
      </c>
      <c r="F66" s="58">
        <v>1</v>
      </c>
      <c r="G66" s="58">
        <v>0.52149999999999996</v>
      </c>
      <c r="H66" s="59">
        <v>0.78600000000000003</v>
      </c>
      <c r="I66" s="59">
        <v>0.81040000000000001</v>
      </c>
      <c r="J66" s="59">
        <v>0.43490000000000001</v>
      </c>
      <c r="K66" s="59">
        <v>1</v>
      </c>
      <c r="L66" s="59">
        <v>0.72019999999999995</v>
      </c>
      <c r="M66" s="59">
        <v>0.97040000000000004</v>
      </c>
      <c r="N66" s="59">
        <v>0.22320000000000001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9">
        <v>0.65339999999999998</v>
      </c>
      <c r="W66" s="59">
        <v>0.83309999999999995</v>
      </c>
      <c r="X66" s="59">
        <v>0.44019999999999998</v>
      </c>
      <c r="Y66" s="59">
        <v>1</v>
      </c>
      <c r="Z66" s="59">
        <v>0.159</v>
      </c>
      <c r="AA66" s="59">
        <v>0.40849999999999997</v>
      </c>
      <c r="AB66" s="59">
        <v>0.27589999999999998</v>
      </c>
      <c r="AC66" s="58">
        <v>0.31130000000000002</v>
      </c>
      <c r="AD66" s="58">
        <v>0</v>
      </c>
      <c r="AE66" s="58">
        <v>0</v>
      </c>
      <c r="AF66" s="58">
        <v>0</v>
      </c>
      <c r="AG66" s="58">
        <v>0</v>
      </c>
      <c r="AH66" s="58">
        <v>0</v>
      </c>
      <c r="AI66" s="58">
        <v>0</v>
      </c>
      <c r="AJ66" s="59">
        <v>0</v>
      </c>
      <c r="AK66" s="59">
        <v>0</v>
      </c>
      <c r="AL66" s="59">
        <v>0</v>
      </c>
      <c r="AM66" s="59">
        <v>0.4254</v>
      </c>
      <c r="AN66" s="59">
        <v>0</v>
      </c>
      <c r="AO66" s="59">
        <v>0.18099999999999999</v>
      </c>
      <c r="AP66" s="59">
        <v>0</v>
      </c>
      <c r="AQ66" s="58">
        <v>0</v>
      </c>
      <c r="AR66" s="58">
        <v>0</v>
      </c>
      <c r="AS66" s="58">
        <v>0</v>
      </c>
      <c r="AT66" s="58">
        <v>0</v>
      </c>
      <c r="AU66" s="58">
        <v>0</v>
      </c>
      <c r="AV66" s="58">
        <v>0</v>
      </c>
      <c r="AW66" s="58">
        <v>0</v>
      </c>
      <c r="AX66" s="59">
        <v>0.24510000000000001</v>
      </c>
      <c r="AY66" s="59">
        <v>0.2281</v>
      </c>
      <c r="AZ66" s="59">
        <v>0.25890000000000002</v>
      </c>
      <c r="BA66" s="59">
        <v>0.1661</v>
      </c>
      <c r="BB66" s="59">
        <v>0.34839999999999999</v>
      </c>
      <c r="BC66" s="59">
        <v>0.60589999999999999</v>
      </c>
      <c r="BD66" s="59">
        <v>0.22320000000000001</v>
      </c>
    </row>
    <row r="68" spans="1:56" x14ac:dyDescent="0.25">
      <c r="A68" s="89" t="s">
        <v>188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</row>
    <row r="69" spans="1:56" x14ac:dyDescent="0.25">
      <c r="A69" s="113" t="s">
        <v>173</v>
      </c>
      <c r="B69" s="113"/>
      <c r="C69" s="113"/>
      <c r="D69" s="113"/>
      <c r="E69" s="113"/>
      <c r="F69" s="113"/>
      <c r="G69" s="113"/>
      <c r="H69" s="114" t="s">
        <v>189</v>
      </c>
      <c r="I69" s="89"/>
      <c r="J69" s="89"/>
      <c r="K69" s="89"/>
      <c r="L69" s="89"/>
    </row>
    <row r="70" spans="1:56" x14ac:dyDescent="0.25">
      <c r="A70" s="80">
        <v>0</v>
      </c>
      <c r="B70" s="80">
        <v>0.2419</v>
      </c>
      <c r="C70" s="80">
        <v>0.30509999999999998</v>
      </c>
      <c r="D70" s="80">
        <v>0.247</v>
      </c>
      <c r="E70" s="80">
        <v>0.31159999999999999</v>
      </c>
      <c r="F70" s="80">
        <v>0.26679999999999998</v>
      </c>
      <c r="G70" s="80">
        <v>0.29049999999999998</v>
      </c>
    </row>
    <row r="71" spans="1:56" x14ac:dyDescent="0.25">
      <c r="A71" s="80">
        <v>0.21329999999999999</v>
      </c>
      <c r="B71" s="80">
        <v>0</v>
      </c>
      <c r="C71" s="80">
        <v>0.33069999999999999</v>
      </c>
      <c r="D71" s="81">
        <v>0.23769999999999999</v>
      </c>
      <c r="E71" s="80">
        <v>0.33760000000000001</v>
      </c>
      <c r="F71" s="80">
        <v>0.28320000000000001</v>
      </c>
      <c r="G71" s="80">
        <v>0.3044</v>
      </c>
    </row>
    <row r="72" spans="1:56" x14ac:dyDescent="0.25">
      <c r="A72" s="80">
        <v>0.13300000000000001</v>
      </c>
      <c r="B72" s="80">
        <v>0.15989999999999999</v>
      </c>
      <c r="C72" s="80">
        <v>0</v>
      </c>
      <c r="D72" s="80">
        <v>0.20849999999999999</v>
      </c>
      <c r="E72" s="80">
        <v>0.2074</v>
      </c>
      <c r="F72" s="80">
        <v>0.21879999999999999</v>
      </c>
      <c r="G72" s="80">
        <v>0.1585</v>
      </c>
    </row>
    <row r="73" spans="1:56" x14ac:dyDescent="0.25">
      <c r="A73" s="80">
        <v>0.40189999999999998</v>
      </c>
      <c r="B73" s="80">
        <v>0.39529999999999998</v>
      </c>
      <c r="C73" s="80">
        <v>0.57010000000000005</v>
      </c>
      <c r="D73" s="80">
        <v>0</v>
      </c>
      <c r="E73" s="80">
        <v>0.57799999999999996</v>
      </c>
      <c r="F73" s="80">
        <v>0.42430000000000001</v>
      </c>
      <c r="G73" s="80">
        <v>0.61129999999999995</v>
      </c>
    </row>
    <row r="74" spans="1:56" x14ac:dyDescent="0.25">
      <c r="A74" s="80">
        <v>0.15090000000000001</v>
      </c>
      <c r="B74" s="80">
        <v>0.15679999999999999</v>
      </c>
      <c r="C74" s="80">
        <v>0.23669999999999999</v>
      </c>
      <c r="D74" s="80">
        <v>0.21010000000000001</v>
      </c>
      <c r="E74" s="80">
        <v>0</v>
      </c>
      <c r="F74" s="80">
        <v>0.2329</v>
      </c>
      <c r="G74" s="80">
        <v>0.185</v>
      </c>
    </row>
    <row r="75" spans="1:56" x14ac:dyDescent="0.25">
      <c r="A75" s="80">
        <v>0.14369999999999999</v>
      </c>
      <c r="B75" s="80">
        <v>0.1555</v>
      </c>
      <c r="C75" s="80">
        <v>0.26900000000000002</v>
      </c>
      <c r="D75" s="80">
        <v>0.22</v>
      </c>
      <c r="E75" s="80">
        <v>0.29470000000000002</v>
      </c>
      <c r="F75" s="80">
        <v>0</v>
      </c>
      <c r="G75" s="80">
        <v>0.42420000000000002</v>
      </c>
    </row>
    <row r="76" spans="1:56" x14ac:dyDescent="0.25">
      <c r="A76" s="58">
        <v>0.1938</v>
      </c>
      <c r="B76" s="58">
        <v>0.18079999999999999</v>
      </c>
      <c r="C76" s="58">
        <v>0.26119999999999999</v>
      </c>
      <c r="D76" s="58">
        <v>0.2596</v>
      </c>
      <c r="E76" s="58">
        <v>0.24329999999999999</v>
      </c>
      <c r="F76" s="58">
        <v>0.29330000000000001</v>
      </c>
      <c r="G76" s="58">
        <v>0</v>
      </c>
    </row>
    <row r="78" spans="1:56" x14ac:dyDescent="0.25">
      <c r="I78">
        <v>1</v>
      </c>
      <c r="J78">
        <v>2</v>
      </c>
      <c r="K78">
        <v>3</v>
      </c>
      <c r="L78">
        <v>4</v>
      </c>
      <c r="M78">
        <v>5</v>
      </c>
      <c r="N78">
        <v>6</v>
      </c>
      <c r="O78">
        <v>7</v>
      </c>
    </row>
    <row r="79" spans="1:56" x14ac:dyDescent="0.25">
      <c r="A79" s="122" t="s">
        <v>148</v>
      </c>
      <c r="B79" s="122"/>
      <c r="C79" s="122"/>
      <c r="D79" s="122"/>
      <c r="E79" s="122"/>
      <c r="F79" s="122"/>
      <c r="G79" s="122"/>
      <c r="I79" s="122" t="s">
        <v>148</v>
      </c>
      <c r="J79" s="122"/>
      <c r="K79" s="122"/>
      <c r="L79" s="122"/>
      <c r="M79" s="122"/>
      <c r="N79" s="122"/>
      <c r="O79" s="122"/>
    </row>
    <row r="80" spans="1:56" x14ac:dyDescent="0.25">
      <c r="A80" s="78" t="str">
        <f>IF(AND(A60&lt;=A70,H60&lt;=A70,O60&lt;=A70,V60&lt;=A70,AC60&lt;=A70,AJ60&lt;=A70,AQ60&lt;=A70,AX60&lt;=A70),A70,"F")</f>
        <v>F</v>
      </c>
      <c r="B80" s="78" t="str">
        <f t="shared" ref="B80:F80" si="59">IF(AND(B60&lt;=B70,I60&lt;=B70,P60&lt;=B70,W60&lt;=B70,AD60&lt;=B70,AK60&lt;=B70,AR60&lt;=B70,AY60&lt;=B70),B70,"F")</f>
        <v>F</v>
      </c>
      <c r="C80" s="78" t="str">
        <f t="shared" si="59"/>
        <v>F</v>
      </c>
      <c r="D80" s="78" t="str">
        <f t="shared" si="59"/>
        <v>F</v>
      </c>
      <c r="E80" s="78" t="str">
        <f t="shared" si="59"/>
        <v>F</v>
      </c>
      <c r="F80" s="78" t="str">
        <f t="shared" si="59"/>
        <v>F</v>
      </c>
      <c r="G80" s="78">
        <f>IF(AND(G60&lt;=G70,N60&lt;=G70,U60&lt;=G70,AB60&lt;=G70,AI60&lt;=G70,AP60&lt;=G70,AW60&lt;=G70,BD60&lt;=G70),G70,"F")</f>
        <v>0.29049999999999998</v>
      </c>
      <c r="I80" s="80" t="s">
        <v>2</v>
      </c>
      <c r="J80" s="80">
        <f>B70*(((1-B60)*(1-I60)*(1-W60))/(1-B70)^3)</f>
        <v>0.13599323411535874</v>
      </c>
      <c r="K80" s="80">
        <f>C70*((1-C60)/(1-C70))</f>
        <v>0.24613478198301911</v>
      </c>
      <c r="L80" s="80">
        <f>D70*(((1-D60)*(1-K60)*(1-Y60)*(1-AM60))/(1-D70)^4)</f>
        <v>0</v>
      </c>
      <c r="M80" s="80">
        <f>E70*((1-BB60)/(1-E70))</f>
        <v>0.30490087158628698</v>
      </c>
      <c r="N80" s="80">
        <f>F70*(((1-F60)*(1-M60)*(1-AO60)*(1-BC60))/(1-F70)^4)</f>
        <v>1.5683177875668537E-2</v>
      </c>
      <c r="O80" s="80">
        <v>0.29049999999999998</v>
      </c>
    </row>
    <row r="81" spans="1:15" x14ac:dyDescent="0.25">
      <c r="A81" s="78" t="str">
        <f t="shared" ref="A81:A86" si="60">IF(AND(A61&lt;=A71,H61&lt;=A71,O61&lt;=A71,V61&lt;=A71,AC61&lt;=A71,AJ61&lt;=A71,AQ61&lt;=A71,AX61&lt;=A71),A71,"F")</f>
        <v>F</v>
      </c>
      <c r="B81" s="78" t="str">
        <f t="shared" ref="B81:B86" si="61">IF(AND(B61&lt;=B71,I61&lt;=B71,P61&lt;=B71,W61&lt;=B71,AD61&lt;=B71,AK61&lt;=B71,AR61&lt;=B71,AY61&lt;=B71),B71,"F")</f>
        <v>F</v>
      </c>
      <c r="C81" s="78" t="str">
        <f t="shared" ref="C81:C86" si="62">IF(AND(C61&lt;=C71,J61&lt;=C71,Q61&lt;=C71,X61&lt;=C71,AE61&lt;=C71,AL61&lt;=C71,AS61&lt;=C71,AZ61&lt;=C71),C71,"F")</f>
        <v>F</v>
      </c>
      <c r="D81" s="78" t="str">
        <f t="shared" ref="D81:D86" si="63">IF(AND(D61&lt;=D71,K61&lt;=D71,R61&lt;=D71,Y61&lt;=D71,AF61&lt;=D71,AM61&lt;=D71,AT61&lt;=D71,BA61&lt;=D71),D71,"F")</f>
        <v>F</v>
      </c>
      <c r="E81" s="78" t="str">
        <f t="shared" ref="E81:E86" si="64">IF(AND(E61&lt;=E71,L61&lt;=E71,S61&lt;=E71,Z61&lt;=E71,AG61&lt;=E71,AN61&lt;=E71,AU61&lt;=E71,BB61&lt;=E71),E71,"F")</f>
        <v>F</v>
      </c>
      <c r="F81" s="78" t="str">
        <f t="shared" ref="F81:G86" si="65">IF(AND(F61&lt;=F71,M61&lt;=F71,T61&lt;=F71,AA61&lt;=F71,AH61&lt;=F71,AO61&lt;=F71,AV61&lt;=F71,BC61&lt;=F71),F71,"F")</f>
        <v>F</v>
      </c>
      <c r="G81" s="78" t="str">
        <f t="shared" si="65"/>
        <v>F</v>
      </c>
      <c r="I81" s="80">
        <f>A71*(((1-A61)*(1-O61)*(1-AX61))/(1-A71)^3)</f>
        <v>7.1204444103486086E-2</v>
      </c>
      <c r="J81" s="80" t="s">
        <v>2</v>
      </c>
      <c r="K81" s="80">
        <f>C71*((1-C61)/(1-C71))</f>
        <v>0.21784794561482143</v>
      </c>
      <c r="L81" s="80">
        <f>D71*(((1-D61)*(1-K61)*(1-Y61)*(1-AM61))/(1-D71)^4)</f>
        <v>0</v>
      </c>
      <c r="M81" s="80">
        <f>E71*((1-BB61)/(1-E71))</f>
        <v>0.33459299516908214</v>
      </c>
      <c r="N81" s="80">
        <v>0</v>
      </c>
      <c r="O81" s="80">
        <f>G71*((1-U61)/(1-G71))</f>
        <v>0.29394117308798162</v>
      </c>
    </row>
    <row r="82" spans="1:15" x14ac:dyDescent="0.25">
      <c r="A82" s="78" t="str">
        <f t="shared" si="60"/>
        <v>F</v>
      </c>
      <c r="B82" s="78" t="str">
        <f t="shared" si="61"/>
        <v>F</v>
      </c>
      <c r="C82" s="78" t="str">
        <f t="shared" si="62"/>
        <v>F</v>
      </c>
      <c r="D82" s="78" t="str">
        <f t="shared" si="63"/>
        <v>F</v>
      </c>
      <c r="E82" s="78" t="str">
        <f t="shared" si="64"/>
        <v>F</v>
      </c>
      <c r="F82" s="78" t="str">
        <f t="shared" si="65"/>
        <v>F</v>
      </c>
      <c r="G82" s="78" t="str">
        <f t="shared" ref="G82:G86" si="66">IF(AND(G62&lt;=G72,N62&lt;=G72,U62&lt;=G72,AB62&lt;=G72,AI62&lt;=G72,AP62&lt;=G72,AW62&lt;=G72,BD62&lt;=G72),G72,"F")</f>
        <v>F</v>
      </c>
      <c r="I82" s="80">
        <f>A72*(((1-A62)*(1-H62)*(1-O62)*(1-V62)*(1-AX62))/(1-A72)^5)</f>
        <v>1.2945818533731304E-2</v>
      </c>
      <c r="J82" s="80">
        <f>B72*(((1-B62)*(1-I62)*(1-W62)*(1-AY62))/(1-B72)^4)</f>
        <v>1.778656180071286E-2</v>
      </c>
      <c r="K82" s="80" t="s">
        <v>2</v>
      </c>
      <c r="L82" s="80">
        <v>0</v>
      </c>
      <c r="M82" s="80">
        <f>E72*(((1-E62)*(1-L62)*(1-BB62))/(1-E72)^3)</f>
        <v>0.10494064788272968</v>
      </c>
      <c r="N82" s="80">
        <f>F72*(((1-F62)*(1-M62)*(1-AA62)*(1-BC62))/(1-F72)^4)</f>
        <v>1.2487608323585966E-3</v>
      </c>
      <c r="O82" s="80">
        <f>G72*(((1-G62)*(1-U62)*(1-AW62)*(1-BD62))/(1-G72)^4)</f>
        <v>0.13514311338002893</v>
      </c>
    </row>
    <row r="83" spans="1:15" x14ac:dyDescent="0.25">
      <c r="A83" s="78" t="str">
        <f t="shared" si="60"/>
        <v>F</v>
      </c>
      <c r="B83" s="78">
        <f t="shared" si="61"/>
        <v>0.39529999999999998</v>
      </c>
      <c r="C83" s="78">
        <f t="shared" si="62"/>
        <v>0.57010000000000005</v>
      </c>
      <c r="D83" s="78" t="str">
        <f t="shared" si="63"/>
        <v>F</v>
      </c>
      <c r="E83" s="78">
        <f t="shared" si="64"/>
        <v>0.57799999999999996</v>
      </c>
      <c r="F83" s="78" t="str">
        <f t="shared" si="65"/>
        <v>F</v>
      </c>
      <c r="G83" s="78">
        <f t="shared" si="66"/>
        <v>0.61129999999999995</v>
      </c>
      <c r="I83" s="80">
        <f>A73*((1-O63)/(1-A73))</f>
        <v>0.32401969570305961</v>
      </c>
      <c r="J83" s="80">
        <v>0.39529999999999998</v>
      </c>
      <c r="K83" s="80">
        <v>0.57010000000000005</v>
      </c>
      <c r="L83" s="80" t="s">
        <v>2</v>
      </c>
      <c r="M83" s="80">
        <v>0.57799999999999996</v>
      </c>
      <c r="N83" s="80">
        <f>F73*((1-BC63)/(1-F73))</f>
        <v>0.24844802848705919</v>
      </c>
      <c r="O83" s="80">
        <v>0.61129999999999995</v>
      </c>
    </row>
    <row r="84" spans="1:15" x14ac:dyDescent="0.25">
      <c r="A84" s="78" t="str">
        <f t="shared" si="60"/>
        <v>F</v>
      </c>
      <c r="B84" s="78" t="str">
        <f t="shared" si="61"/>
        <v>F</v>
      </c>
      <c r="C84" s="78" t="str">
        <f t="shared" si="62"/>
        <v>F</v>
      </c>
      <c r="D84" s="78" t="str">
        <f t="shared" si="63"/>
        <v>F</v>
      </c>
      <c r="E84" s="78" t="str">
        <f t="shared" si="64"/>
        <v>F</v>
      </c>
      <c r="F84" s="78" t="str">
        <f t="shared" si="65"/>
        <v>F</v>
      </c>
      <c r="G84" s="78" t="str">
        <f t="shared" si="66"/>
        <v>F</v>
      </c>
      <c r="I84" s="80">
        <f>A74*(((1-A64)*(1-H64)*(1-O64)*(1-V64))/(1-A74)^4)</f>
        <v>3.5548691404143052E-3</v>
      </c>
      <c r="J84" s="80">
        <f>B74*(((1-B64)*(1-I64)*(1-W64))/(1-B74)^3)</f>
        <v>2.2334030338293843E-3</v>
      </c>
      <c r="K84" s="80">
        <f>C74*(((1-C64)*(1-X64))/(1-C74)^2)</f>
        <v>3.8002076450676693E-2</v>
      </c>
      <c r="L84" s="80">
        <v>0</v>
      </c>
      <c r="M84" s="80" t="s">
        <v>2</v>
      </c>
      <c r="N84" s="80">
        <v>0</v>
      </c>
      <c r="O84" s="80">
        <f>G74*(((1-G64)*(1-U64)*(1-AB64))/(1-G74)^3)</f>
        <v>7.6986053078565903E-2</v>
      </c>
    </row>
    <row r="85" spans="1:15" x14ac:dyDescent="0.25">
      <c r="A85" s="78" t="str">
        <f t="shared" si="60"/>
        <v>F</v>
      </c>
      <c r="B85" s="78" t="str">
        <f t="shared" si="61"/>
        <v>F</v>
      </c>
      <c r="C85" s="78" t="str">
        <f t="shared" si="62"/>
        <v>F</v>
      </c>
      <c r="D85" s="78" t="str">
        <f t="shared" si="63"/>
        <v>F</v>
      </c>
      <c r="E85" s="78">
        <f t="shared" si="64"/>
        <v>0.29470000000000002</v>
      </c>
      <c r="F85" s="78" t="str">
        <f t="shared" si="65"/>
        <v>F</v>
      </c>
      <c r="G85" s="78">
        <f t="shared" si="66"/>
        <v>0.42420000000000002</v>
      </c>
      <c r="I85" s="80">
        <f>A75*(((1-A65)*(1-O65)*(1-V65)*(1-AC65))/(1-A75)^4)</f>
        <v>6.0022431216179499E-2</v>
      </c>
      <c r="J85" s="80">
        <f>B75*((1-W65)/(1-B75))</f>
        <v>5.5147720544701004E-2</v>
      </c>
      <c r="K85" s="80">
        <f>C75*((1-X65)/(1-C75))</f>
        <v>0.25479562243502052</v>
      </c>
      <c r="L85" s="80">
        <v>0</v>
      </c>
      <c r="M85" s="80">
        <v>0.29470000000000002</v>
      </c>
      <c r="N85" s="80" t="s">
        <v>2</v>
      </c>
      <c r="O85" s="80">
        <v>0.42420000000000002</v>
      </c>
    </row>
    <row r="86" spans="1:15" x14ac:dyDescent="0.25">
      <c r="A86" s="78" t="str">
        <f t="shared" si="60"/>
        <v>F</v>
      </c>
      <c r="B86" s="78" t="str">
        <f t="shared" si="61"/>
        <v>F</v>
      </c>
      <c r="C86" s="78" t="str">
        <f t="shared" si="62"/>
        <v>F</v>
      </c>
      <c r="D86" s="78" t="str">
        <f t="shared" si="63"/>
        <v>F</v>
      </c>
      <c r="E86" s="78" t="str">
        <f t="shared" si="64"/>
        <v>F</v>
      </c>
      <c r="F86" s="78" t="str">
        <f t="shared" si="65"/>
        <v>F</v>
      </c>
      <c r="G86" s="78" t="str">
        <f t="shared" si="66"/>
        <v>F</v>
      </c>
      <c r="I86" s="78">
        <f>A76*(((1-A66)*(1-H66)*(1-V66)*(1-AC66)*(1-AX66))/(1-A76)^5)</f>
        <v>9.2820095536725494E-4</v>
      </c>
      <c r="J86" s="78">
        <f>B76*(((1-B66)*(1-I66)*(1-W66)*(1-AY66))/(1-B76)^4)</f>
        <v>1.5876004413821344E-3</v>
      </c>
      <c r="K86" s="78">
        <f>C76*(((1-C66)*(1-J66)*(1-X66))/(1-C76)^3)</f>
        <v>2.5490073871687707E-2</v>
      </c>
      <c r="L86" s="78">
        <v>0</v>
      </c>
      <c r="M86" s="78">
        <f>E76*(((1-E66)*(1-L66)*(1-BB66))/(1-E76)^3)</f>
        <v>4.0100821016068662E-2</v>
      </c>
      <c r="N86" s="78">
        <v>0</v>
      </c>
      <c r="O86" s="79" t="s">
        <v>2</v>
      </c>
    </row>
    <row r="90" spans="1:15" x14ac:dyDescent="0.25">
      <c r="I90" s="123" t="s">
        <v>148</v>
      </c>
      <c r="J90" s="123"/>
      <c r="K90" s="123"/>
      <c r="L90" s="123"/>
      <c r="M90" s="123"/>
      <c r="N90" s="123"/>
      <c r="O90" s="123"/>
    </row>
    <row r="91" spans="1:15" x14ac:dyDescent="0.25">
      <c r="I91" s="124">
        <v>0</v>
      </c>
      <c r="J91" s="124">
        <v>0.13599323411535874</v>
      </c>
      <c r="K91" s="124">
        <v>0.24613478198301911</v>
      </c>
      <c r="L91" s="124">
        <v>0</v>
      </c>
      <c r="M91" s="124">
        <v>0.30490087158628698</v>
      </c>
      <c r="N91" s="124">
        <v>1.5683177875668537E-2</v>
      </c>
      <c r="O91" s="124">
        <v>0.29049999999999998</v>
      </c>
    </row>
    <row r="92" spans="1:15" x14ac:dyDescent="0.25">
      <c r="I92" s="124">
        <v>7.1204444103486086E-2</v>
      </c>
      <c r="J92" s="124">
        <v>0</v>
      </c>
      <c r="K92" s="124">
        <v>0.21784794561482143</v>
      </c>
      <c r="L92" s="124">
        <v>0</v>
      </c>
      <c r="M92" s="124">
        <v>0.33459299516908214</v>
      </c>
      <c r="N92" s="124">
        <v>0</v>
      </c>
      <c r="O92" s="124">
        <v>0.29394117308798162</v>
      </c>
    </row>
    <row r="93" spans="1:15" x14ac:dyDescent="0.25">
      <c r="I93" s="124">
        <v>1.2945818533731304E-2</v>
      </c>
      <c r="J93" s="124">
        <v>1.778656180071286E-2</v>
      </c>
      <c r="K93" s="124">
        <v>0</v>
      </c>
      <c r="L93" s="124">
        <v>0</v>
      </c>
      <c r="M93" s="124">
        <v>0.10494064788272968</v>
      </c>
      <c r="N93" s="124">
        <v>1.2487608323585966E-3</v>
      </c>
      <c r="O93" s="124">
        <v>0.13514311338002893</v>
      </c>
    </row>
    <row r="94" spans="1:15" x14ac:dyDescent="0.25">
      <c r="I94" s="124">
        <v>0.32401969570305961</v>
      </c>
      <c r="J94" s="124">
        <v>0.39529999999999998</v>
      </c>
      <c r="K94" s="124">
        <v>0.57010000000000005</v>
      </c>
      <c r="L94" s="124">
        <v>0</v>
      </c>
      <c r="M94" s="124">
        <v>0.57799999999999996</v>
      </c>
      <c r="N94" s="124">
        <v>0.24844802848705919</v>
      </c>
      <c r="O94" s="124">
        <v>0.61129999999999995</v>
      </c>
    </row>
    <row r="95" spans="1:15" x14ac:dyDescent="0.25">
      <c r="I95" s="124">
        <v>3.5548691404143052E-3</v>
      </c>
      <c r="J95" s="124">
        <v>2.2334030338293843E-3</v>
      </c>
      <c r="K95" s="124">
        <v>3.8002076450676693E-2</v>
      </c>
      <c r="L95" s="124">
        <v>0</v>
      </c>
      <c r="M95" s="124">
        <v>0</v>
      </c>
      <c r="N95" s="124">
        <v>0</v>
      </c>
      <c r="O95" s="124">
        <v>7.6986053078565903E-2</v>
      </c>
    </row>
    <row r="96" spans="1:15" x14ac:dyDescent="0.25">
      <c r="I96" s="124">
        <v>6.0022431216179499E-2</v>
      </c>
      <c r="J96" s="124">
        <v>5.5147720544701004E-2</v>
      </c>
      <c r="K96" s="124">
        <v>0.25479562243502052</v>
      </c>
      <c r="L96" s="124">
        <v>0</v>
      </c>
      <c r="M96" s="124">
        <v>0.29470000000000002</v>
      </c>
      <c r="N96" s="124">
        <v>0</v>
      </c>
      <c r="O96" s="124">
        <v>0.42420000000000002</v>
      </c>
    </row>
    <row r="97" spans="9:15" x14ac:dyDescent="0.25">
      <c r="I97" s="124">
        <v>9.2820095536725494E-4</v>
      </c>
      <c r="J97" s="124">
        <v>1.5876004413821344E-3</v>
      </c>
      <c r="K97" s="124">
        <v>2.5490073871687707E-2</v>
      </c>
      <c r="L97" s="124">
        <v>0</v>
      </c>
      <c r="M97" s="124">
        <v>4.0100821016068662E-2</v>
      </c>
      <c r="N97" s="124">
        <v>0</v>
      </c>
      <c r="O97" s="124">
        <v>0</v>
      </c>
    </row>
    <row r="100" spans="9:15" x14ac:dyDescent="0.25">
      <c r="I100" s="123" t="s">
        <v>148</v>
      </c>
      <c r="J100" s="123"/>
      <c r="K100" s="123"/>
      <c r="L100" s="123"/>
      <c r="M100" s="123"/>
      <c r="N100" s="123"/>
      <c r="O100" s="123"/>
    </row>
    <row r="101" spans="9:15" x14ac:dyDescent="0.25">
      <c r="I101" s="124">
        <f>ROUND(I91,4)</f>
        <v>0</v>
      </c>
      <c r="J101" s="124">
        <f t="shared" ref="J101:O101" si="67">ROUND(J91,4)</f>
        <v>0.13600000000000001</v>
      </c>
      <c r="K101" s="124">
        <f t="shared" si="67"/>
        <v>0.24610000000000001</v>
      </c>
      <c r="L101" s="124">
        <f t="shared" si="67"/>
        <v>0</v>
      </c>
      <c r="M101" s="124">
        <f t="shared" si="67"/>
        <v>0.3049</v>
      </c>
      <c r="N101" s="124">
        <f t="shared" si="67"/>
        <v>1.5699999999999999E-2</v>
      </c>
      <c r="O101" s="124">
        <f t="shared" si="67"/>
        <v>0.29049999999999998</v>
      </c>
    </row>
    <row r="102" spans="9:15" x14ac:dyDescent="0.25">
      <c r="I102" s="124">
        <f t="shared" ref="I102:O102" si="68">ROUND(I92,4)</f>
        <v>7.1199999999999999E-2</v>
      </c>
      <c r="J102" s="124">
        <f t="shared" si="68"/>
        <v>0</v>
      </c>
      <c r="K102" s="124">
        <f t="shared" si="68"/>
        <v>0.21779999999999999</v>
      </c>
      <c r="L102" s="124">
        <f t="shared" si="68"/>
        <v>0</v>
      </c>
      <c r="M102" s="124">
        <f t="shared" si="68"/>
        <v>0.33460000000000001</v>
      </c>
      <c r="N102" s="124">
        <f t="shared" si="68"/>
        <v>0</v>
      </c>
      <c r="O102" s="124">
        <f t="shared" si="68"/>
        <v>0.29389999999999999</v>
      </c>
    </row>
    <row r="103" spans="9:15" x14ac:dyDescent="0.25">
      <c r="I103" s="124">
        <f t="shared" ref="I103:O103" si="69">ROUND(I93,4)</f>
        <v>1.29E-2</v>
      </c>
      <c r="J103" s="124">
        <f t="shared" si="69"/>
        <v>1.78E-2</v>
      </c>
      <c r="K103" s="124">
        <f t="shared" si="69"/>
        <v>0</v>
      </c>
      <c r="L103" s="124">
        <f t="shared" si="69"/>
        <v>0</v>
      </c>
      <c r="M103" s="124">
        <f t="shared" si="69"/>
        <v>0.10489999999999999</v>
      </c>
      <c r="N103" s="124">
        <f t="shared" si="69"/>
        <v>1.1999999999999999E-3</v>
      </c>
      <c r="O103" s="124">
        <f t="shared" si="69"/>
        <v>0.1351</v>
      </c>
    </row>
    <row r="104" spans="9:15" x14ac:dyDescent="0.25">
      <c r="I104" s="124">
        <f t="shared" ref="I104:O104" si="70">ROUND(I94,4)</f>
        <v>0.32400000000000001</v>
      </c>
      <c r="J104" s="124">
        <f t="shared" si="70"/>
        <v>0.39529999999999998</v>
      </c>
      <c r="K104" s="124">
        <f t="shared" si="70"/>
        <v>0.57010000000000005</v>
      </c>
      <c r="L104" s="124">
        <f t="shared" si="70"/>
        <v>0</v>
      </c>
      <c r="M104" s="124">
        <f t="shared" si="70"/>
        <v>0.57799999999999996</v>
      </c>
      <c r="N104" s="124">
        <f t="shared" si="70"/>
        <v>0.24840000000000001</v>
      </c>
      <c r="O104" s="124">
        <f t="shared" si="70"/>
        <v>0.61129999999999995</v>
      </c>
    </row>
    <row r="105" spans="9:15" x14ac:dyDescent="0.25">
      <c r="I105" s="124">
        <f t="shared" ref="I105:O105" si="71">ROUND(I95,4)</f>
        <v>3.5999999999999999E-3</v>
      </c>
      <c r="J105" s="124">
        <f t="shared" si="71"/>
        <v>2.2000000000000001E-3</v>
      </c>
      <c r="K105" s="124">
        <f t="shared" si="71"/>
        <v>3.7999999999999999E-2</v>
      </c>
      <c r="L105" s="124">
        <f t="shared" si="71"/>
        <v>0</v>
      </c>
      <c r="M105" s="124">
        <f t="shared" si="71"/>
        <v>0</v>
      </c>
      <c r="N105" s="124">
        <f t="shared" si="71"/>
        <v>0</v>
      </c>
      <c r="O105" s="124">
        <f t="shared" si="71"/>
        <v>7.6999999999999999E-2</v>
      </c>
    </row>
    <row r="106" spans="9:15" x14ac:dyDescent="0.25">
      <c r="I106" s="124">
        <f t="shared" ref="I106:O106" si="72">ROUND(I96,4)</f>
        <v>0.06</v>
      </c>
      <c r="J106" s="124">
        <f t="shared" si="72"/>
        <v>5.5100000000000003E-2</v>
      </c>
      <c r="K106" s="124">
        <f t="shared" si="72"/>
        <v>0.25480000000000003</v>
      </c>
      <c r="L106" s="124">
        <f t="shared" si="72"/>
        <v>0</v>
      </c>
      <c r="M106" s="124">
        <f t="shared" si="72"/>
        <v>0.29470000000000002</v>
      </c>
      <c r="N106" s="124">
        <f t="shared" si="72"/>
        <v>0</v>
      </c>
      <c r="O106" s="124">
        <f t="shared" si="72"/>
        <v>0.42420000000000002</v>
      </c>
    </row>
    <row r="107" spans="9:15" x14ac:dyDescent="0.25">
      <c r="I107" s="124">
        <f t="shared" ref="I107:O107" si="73">ROUND(I97,4)</f>
        <v>8.9999999999999998E-4</v>
      </c>
      <c r="J107" s="124">
        <f t="shared" si="73"/>
        <v>1.6000000000000001E-3</v>
      </c>
      <c r="K107" s="124">
        <f t="shared" si="73"/>
        <v>2.5499999999999998E-2</v>
      </c>
      <c r="L107" s="124">
        <f t="shared" si="73"/>
        <v>0</v>
      </c>
      <c r="M107" s="124">
        <f t="shared" si="73"/>
        <v>4.0099999999999997E-2</v>
      </c>
      <c r="N107" s="124">
        <f t="shared" si="73"/>
        <v>0</v>
      </c>
      <c r="O107" s="124">
        <f t="shared" si="73"/>
        <v>0</v>
      </c>
    </row>
    <row r="110" spans="9:15" x14ac:dyDescent="0.25">
      <c r="I110" s="123" t="s">
        <v>148</v>
      </c>
      <c r="J110" s="123"/>
      <c r="K110" s="123"/>
      <c r="L110" s="123"/>
      <c r="M110" s="123"/>
      <c r="N110" s="123"/>
      <c r="O110" s="123"/>
    </row>
    <row r="111" spans="9:15" x14ac:dyDescent="0.25">
      <c r="I111" s="124">
        <v>0</v>
      </c>
      <c r="J111" s="124">
        <v>0.13600000000000001</v>
      </c>
      <c r="K111" s="124">
        <v>0.24610000000000001</v>
      </c>
      <c r="L111" s="124">
        <v>0</v>
      </c>
      <c r="M111" s="124">
        <v>0.3049</v>
      </c>
      <c r="N111" s="124">
        <v>1.5699999999999999E-2</v>
      </c>
      <c r="O111" s="124">
        <v>0.29049999999999998</v>
      </c>
    </row>
    <row r="112" spans="9:15" x14ac:dyDescent="0.25">
      <c r="I112" s="124">
        <v>7.1199999999999999E-2</v>
      </c>
      <c r="J112" s="124">
        <v>0</v>
      </c>
      <c r="K112" s="124">
        <v>0.21779999999999999</v>
      </c>
      <c r="L112" s="124">
        <v>0</v>
      </c>
      <c r="M112" s="124">
        <v>0.33460000000000001</v>
      </c>
      <c r="N112" s="124">
        <v>0</v>
      </c>
      <c r="O112" s="124">
        <v>0.29389999999999999</v>
      </c>
    </row>
    <row r="113" spans="9:15" x14ac:dyDescent="0.25">
      <c r="I113" s="124">
        <v>1.29E-2</v>
      </c>
      <c r="J113" s="124">
        <v>1.78E-2</v>
      </c>
      <c r="K113" s="124">
        <v>0</v>
      </c>
      <c r="L113" s="124">
        <v>0</v>
      </c>
      <c r="M113" s="124">
        <v>0.10489999999999999</v>
      </c>
      <c r="N113" s="124">
        <v>1.1999999999999999E-3</v>
      </c>
      <c r="O113" s="124">
        <v>0.1351</v>
      </c>
    </row>
    <row r="114" spans="9:15" x14ac:dyDescent="0.25">
      <c r="I114" s="124">
        <v>0.32400000000000001</v>
      </c>
      <c r="J114" s="124">
        <v>0.39529999999999998</v>
      </c>
      <c r="K114" s="124">
        <v>0.57010000000000005</v>
      </c>
      <c r="L114" s="124">
        <v>0</v>
      </c>
      <c r="M114" s="124">
        <v>0.57799999999999996</v>
      </c>
      <c r="N114" s="124">
        <v>0.24840000000000001</v>
      </c>
      <c r="O114" s="124">
        <v>0.61129999999999995</v>
      </c>
    </row>
    <row r="115" spans="9:15" x14ac:dyDescent="0.25">
      <c r="I115" s="124">
        <v>3.5999999999999999E-3</v>
      </c>
      <c r="J115" s="124">
        <v>2.2000000000000001E-3</v>
      </c>
      <c r="K115" s="124">
        <v>3.7999999999999999E-2</v>
      </c>
      <c r="L115" s="124">
        <v>0</v>
      </c>
      <c r="M115" s="124">
        <v>0</v>
      </c>
      <c r="N115" s="124">
        <v>0</v>
      </c>
      <c r="O115" s="124">
        <v>7.6999999999999999E-2</v>
      </c>
    </row>
    <row r="116" spans="9:15" x14ac:dyDescent="0.25">
      <c r="I116" s="124">
        <v>0.06</v>
      </c>
      <c r="J116" s="124">
        <v>5.5100000000000003E-2</v>
      </c>
      <c r="K116" s="124">
        <v>0.25480000000000003</v>
      </c>
      <c r="L116" s="124">
        <v>0</v>
      </c>
      <c r="M116" s="124">
        <v>0.29470000000000002</v>
      </c>
      <c r="N116" s="124">
        <v>0</v>
      </c>
      <c r="O116" s="124">
        <v>0.42420000000000002</v>
      </c>
    </row>
    <row r="117" spans="9:15" x14ac:dyDescent="0.25">
      <c r="I117" s="124">
        <v>8.9999999999999998E-4</v>
      </c>
      <c r="J117" s="124">
        <v>1.6000000000000001E-3</v>
      </c>
      <c r="K117" s="124">
        <v>2.5499999999999998E-2</v>
      </c>
      <c r="L117" s="124">
        <v>0</v>
      </c>
      <c r="M117" s="124">
        <v>4.0099999999999997E-2</v>
      </c>
      <c r="N117" s="124">
        <v>0</v>
      </c>
      <c r="O117" s="124">
        <v>0</v>
      </c>
    </row>
  </sheetData>
  <mergeCells count="53">
    <mergeCell ref="I90:O90"/>
    <mergeCell ref="I100:O100"/>
    <mergeCell ref="I110:O110"/>
    <mergeCell ref="A3:BD3"/>
    <mergeCell ref="A5:G5"/>
    <mergeCell ref="H5:N5"/>
    <mergeCell ref="O5:U5"/>
    <mergeCell ref="V5:AB5"/>
    <mergeCell ref="AC5:AI5"/>
    <mergeCell ref="AJ5:AP5"/>
    <mergeCell ref="AQ5:AW5"/>
    <mergeCell ref="AX5:BD5"/>
    <mergeCell ref="A19:BD19"/>
    <mergeCell ref="A21:G21"/>
    <mergeCell ref="H21:N21"/>
    <mergeCell ref="O21:U21"/>
    <mergeCell ref="V21:AB21"/>
    <mergeCell ref="AC21:AI21"/>
    <mergeCell ref="AJ21:AP21"/>
    <mergeCell ref="AQ21:AW21"/>
    <mergeCell ref="AX21:BD21"/>
    <mergeCell ref="A31:BD31"/>
    <mergeCell ref="A33:G33"/>
    <mergeCell ref="H33:N33"/>
    <mergeCell ref="O33:U33"/>
    <mergeCell ref="V33:AB33"/>
    <mergeCell ref="AC33:AI33"/>
    <mergeCell ref="AJ33:AP33"/>
    <mergeCell ref="AQ33:AW33"/>
    <mergeCell ref="AX33:BD33"/>
    <mergeCell ref="A44:BD44"/>
    <mergeCell ref="A46:G46"/>
    <mergeCell ref="H46:N46"/>
    <mergeCell ref="O46:U46"/>
    <mergeCell ref="V46:AB46"/>
    <mergeCell ref="AC46:AI46"/>
    <mergeCell ref="AJ46:AP46"/>
    <mergeCell ref="AQ46:AW46"/>
    <mergeCell ref="AX46:BD46"/>
    <mergeCell ref="A57:BD57"/>
    <mergeCell ref="A59:G59"/>
    <mergeCell ref="H59:N59"/>
    <mergeCell ref="O59:U59"/>
    <mergeCell ref="V59:AB59"/>
    <mergeCell ref="AC59:AI59"/>
    <mergeCell ref="AJ59:AP59"/>
    <mergeCell ref="AQ59:AW59"/>
    <mergeCell ref="AX59:BD59"/>
    <mergeCell ref="A79:G79"/>
    <mergeCell ref="I79:O79"/>
    <mergeCell ref="A68:L68"/>
    <mergeCell ref="A69:G69"/>
    <mergeCell ref="H69:L69"/>
  </mergeCells>
  <phoneticPr fontId="2" type="noConversion"/>
  <conditionalFormatting sqref="B60 I60 P60 W60 AD60 AK60 AR60 AY60">
    <cfRule type="cellIs" dxfId="30" priority="31" operator="greaterThan">
      <formula>$B$70</formula>
    </cfRule>
  </conditionalFormatting>
  <conditionalFormatting sqref="C60 J60 Q60 X60 AE60 AL60 AS60 AZ60">
    <cfRule type="cellIs" dxfId="29" priority="30" operator="greaterThan">
      <formula>$C$70</formula>
    </cfRule>
  </conditionalFormatting>
  <conditionalFormatting sqref="D60 K60 R60 Y60 AF60 AM60 AT60 BA60">
    <cfRule type="cellIs" dxfId="28" priority="29" operator="greaterThan">
      <formula>$D$70</formula>
    </cfRule>
  </conditionalFormatting>
  <conditionalFormatting sqref="E60 L60 S60 Z60 AG60 AN60 AU60 BB60">
    <cfRule type="cellIs" dxfId="27" priority="28" operator="greaterThan">
      <formula>$E$70</formula>
    </cfRule>
  </conditionalFormatting>
  <conditionalFormatting sqref="F60 M60 T60 AA60 AH60 AO60 AV60 BC60">
    <cfRule type="cellIs" dxfId="26" priority="27" operator="greaterThan">
      <formula>$F$70</formula>
    </cfRule>
  </conditionalFormatting>
  <conditionalFormatting sqref="A61 H61 O61 V61 AC61 AJ61 AQ61 AX61">
    <cfRule type="cellIs" dxfId="25" priority="26" operator="greaterThan">
      <formula>$A$71</formula>
    </cfRule>
  </conditionalFormatting>
  <conditionalFormatting sqref="C61 J61 Q61 X61 AE61 AL61 AS61 AZ61">
    <cfRule type="cellIs" dxfId="24" priority="25" operator="greaterThan">
      <formula>$C$71</formula>
    </cfRule>
  </conditionalFormatting>
  <conditionalFormatting sqref="D61 K61 R61 Y61 AF61 AM61 AT61 BA61">
    <cfRule type="cellIs" dxfId="23" priority="24" operator="greaterThan">
      <formula>$D$71</formula>
    </cfRule>
  </conditionalFormatting>
  <conditionalFormatting sqref="E61 L61 Z61 AG61 AN61 AU61 BB61 S61">
    <cfRule type="cellIs" dxfId="22" priority="23" operator="greaterThan">
      <formula>$E$71</formula>
    </cfRule>
  </conditionalFormatting>
  <conditionalFormatting sqref="AI61 G61 N61 U61 AB61 AP61 AW61 BD61">
    <cfRule type="cellIs" dxfId="21" priority="22" operator="greaterThan">
      <formula>$G$71</formula>
    </cfRule>
  </conditionalFormatting>
  <conditionalFormatting sqref="A62 H62 O62 V62 AC62 AJ62 AQ62 AX62">
    <cfRule type="cellIs" dxfId="20" priority="21" operator="greaterThan">
      <formula>$A$72</formula>
    </cfRule>
  </conditionalFormatting>
  <conditionalFormatting sqref="B62 I62 P62 W62 AD62 AK62 AR62 AY62">
    <cfRule type="cellIs" dxfId="19" priority="20" operator="greaterThan">
      <formula>$B$72</formula>
    </cfRule>
  </conditionalFormatting>
  <conditionalFormatting sqref="D62 K62 R62 Y62 AF62 AM62 AT62 BB62">
    <cfRule type="cellIs" dxfId="18" priority="18" operator="greaterThan">
      <formula>$D$72</formula>
    </cfRule>
    <cfRule type="cellIs" dxfId="17" priority="19" operator="greaterThan">
      <formula>$D$72</formula>
    </cfRule>
  </conditionalFormatting>
  <conditionalFormatting sqref="E62 L62 S62 Z62 AG62 AN62 AU62 BB62">
    <cfRule type="cellIs" dxfId="16" priority="16" operator="greaterThan">
      <formula>$E$72</formula>
    </cfRule>
    <cfRule type="cellIs" dxfId="15" priority="17" operator="greaterThan">
      <formula>$E$72</formula>
    </cfRule>
  </conditionalFormatting>
  <conditionalFormatting sqref="F62 M62 T62 AA62 AH62 AO62 AV62 BC62">
    <cfRule type="cellIs" dxfId="14" priority="15" operator="greaterThan">
      <formula>$F$72</formula>
    </cfRule>
  </conditionalFormatting>
  <conditionalFormatting sqref="G62 N62 U62 AB62 AI62 AP62 AW62 BD62">
    <cfRule type="cellIs" dxfId="13" priority="14" operator="greaterThan">
      <formula>$G$72</formula>
    </cfRule>
  </conditionalFormatting>
  <conditionalFormatting sqref="A63 H63 O63 V63 AC63 AJ63 AQ63 AX63">
    <cfRule type="cellIs" dxfId="12" priority="13" operator="greaterThan">
      <formula>$A$73</formula>
    </cfRule>
  </conditionalFormatting>
  <conditionalFormatting sqref="F63 M63 T63 AA63 AH63 AO63 AV63 BC63">
    <cfRule type="cellIs" dxfId="11" priority="12" operator="greaterThan">
      <formula>$F$73</formula>
    </cfRule>
  </conditionalFormatting>
  <conditionalFormatting sqref="A64 H64 O64 V64 AC64 AJ64 AQ64 AX64">
    <cfRule type="cellIs" dxfId="10" priority="11" operator="greaterThan">
      <formula>$A$74</formula>
    </cfRule>
  </conditionalFormatting>
  <conditionalFormatting sqref="B64 I64 P64 W64 AD64 AK64 AR64 AY64">
    <cfRule type="cellIs" dxfId="9" priority="10" operator="greaterThan">
      <formula>$B$74</formula>
    </cfRule>
  </conditionalFormatting>
  <conditionalFormatting sqref="C64 J64 Q64 X64 AE64 AL64 AS64 AZ64">
    <cfRule type="cellIs" dxfId="8" priority="9" operator="greaterThan">
      <formula>$C$74</formula>
    </cfRule>
  </conditionalFormatting>
  <conditionalFormatting sqref="G64 N64 U64 AB64 AI64 AP64 AW64 BD64">
    <cfRule type="cellIs" dxfId="7" priority="8" operator="greaterThan">
      <formula>$G$74</formula>
    </cfRule>
  </conditionalFormatting>
  <conditionalFormatting sqref="A65 H65 O65 V65 AC65 AJ65 AQ65 AX65">
    <cfRule type="cellIs" dxfId="6" priority="7" operator="greaterThan">
      <formula>$A$75</formula>
    </cfRule>
  </conditionalFormatting>
  <conditionalFormatting sqref="B65 I65 P65 W65 AD65 AK65 AR65 AY65">
    <cfRule type="cellIs" dxfId="5" priority="6" operator="greaterThan">
      <formula>$B$75</formula>
    </cfRule>
  </conditionalFormatting>
  <conditionalFormatting sqref="C65 J65 Q65 X65 AE65 AL65 AS65 AZ65">
    <cfRule type="cellIs" dxfId="4" priority="5" operator="greaterThan">
      <formula>$C$75</formula>
    </cfRule>
  </conditionalFormatting>
  <conditionalFormatting sqref="A66 H66 O66 V66 AC66 AJ66 AQ66 AX66">
    <cfRule type="cellIs" dxfId="3" priority="4" operator="greaterThan">
      <formula>$A$76</formula>
    </cfRule>
  </conditionalFormatting>
  <conditionalFormatting sqref="B66 I66 P66 W66 AD66 AK66 AR66 AY66">
    <cfRule type="cellIs" dxfId="2" priority="3" operator="greaterThan">
      <formula>$B$76</formula>
    </cfRule>
  </conditionalFormatting>
  <conditionalFormatting sqref="C66 J66 Q66 X66 AE66 AL66 AS66 AZ66">
    <cfRule type="cellIs" dxfId="1" priority="2" operator="greaterThan">
      <formula>$C$76</formula>
    </cfRule>
  </conditionalFormatting>
  <conditionalFormatting sqref="E66 L66 S66 Z66 AG66 AN66 AU66 BB66">
    <cfRule type="cellIs" dxfId="0" priority="1" operator="greaterThan">
      <formula>$E$76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B3D5-7C21-4E5C-9068-AE56EE72EF6A}">
  <dimension ref="C3:P21"/>
  <sheetViews>
    <sheetView tabSelected="1" workbookViewId="0">
      <selection activeCell="K20" sqref="K20"/>
    </sheetView>
  </sheetViews>
  <sheetFormatPr defaultRowHeight="15" x14ac:dyDescent="0.25"/>
  <sheetData>
    <row r="3" spans="3:16" x14ac:dyDescent="0.25">
      <c r="E3" s="123" t="s">
        <v>148</v>
      </c>
      <c r="F3" s="123"/>
      <c r="G3" s="123"/>
      <c r="H3" s="123"/>
      <c r="I3" s="123"/>
      <c r="J3" s="123"/>
      <c r="K3" s="123"/>
    </row>
    <row r="4" spans="3:16" x14ac:dyDescent="0.25">
      <c r="E4" s="124">
        <v>0</v>
      </c>
      <c r="F4" s="124">
        <v>0.13600000000000001</v>
      </c>
      <c r="G4" s="124">
        <v>0.24610000000000001</v>
      </c>
      <c r="H4" s="124">
        <v>0</v>
      </c>
      <c r="I4" s="124">
        <v>0.3049</v>
      </c>
      <c r="J4" s="124">
        <v>1.5699999999999999E-2</v>
      </c>
      <c r="K4" s="124">
        <v>0.29049999999999998</v>
      </c>
      <c r="L4">
        <f>SUM(E4:K4)</f>
        <v>0.99320000000000008</v>
      </c>
    </row>
    <row r="5" spans="3:16" x14ac:dyDescent="0.25">
      <c r="E5" s="124">
        <v>7.1199999999999999E-2</v>
      </c>
      <c r="F5" s="124">
        <v>0</v>
      </c>
      <c r="G5" s="124">
        <v>0.21779999999999999</v>
      </c>
      <c r="H5" s="124">
        <v>0</v>
      </c>
      <c r="I5" s="124">
        <v>0.33460000000000001</v>
      </c>
      <c r="J5" s="124">
        <v>0</v>
      </c>
      <c r="K5" s="124">
        <v>0.29389999999999999</v>
      </c>
      <c r="L5">
        <f t="shared" ref="L5:L10" si="0">SUM(E5:K5)</f>
        <v>0.91749999999999998</v>
      </c>
    </row>
    <row r="6" spans="3:16" x14ac:dyDescent="0.25">
      <c r="E6" s="124">
        <v>1.29E-2</v>
      </c>
      <c r="F6" s="124">
        <v>1.78E-2</v>
      </c>
      <c r="G6" s="124">
        <v>0</v>
      </c>
      <c r="H6" s="124">
        <v>0</v>
      </c>
      <c r="I6" s="124">
        <v>0.10489999999999999</v>
      </c>
      <c r="J6" s="124">
        <v>1.1999999999999999E-3</v>
      </c>
      <c r="K6" s="124">
        <v>0.1351</v>
      </c>
      <c r="L6">
        <f t="shared" si="0"/>
        <v>0.27190000000000003</v>
      </c>
    </row>
    <row r="7" spans="3:16" x14ac:dyDescent="0.25">
      <c r="E7" s="124">
        <v>0.32400000000000001</v>
      </c>
      <c r="F7" s="124">
        <v>0.39529999999999998</v>
      </c>
      <c r="G7" s="124">
        <v>0.57010000000000005</v>
      </c>
      <c r="H7" s="124">
        <v>0</v>
      </c>
      <c r="I7" s="124">
        <v>0.57799999999999996</v>
      </c>
      <c r="J7" s="124">
        <v>0.24840000000000001</v>
      </c>
      <c r="K7" s="124">
        <v>0.61129999999999995</v>
      </c>
      <c r="L7">
        <f t="shared" si="0"/>
        <v>2.7271000000000001</v>
      </c>
    </row>
    <row r="8" spans="3:16" x14ac:dyDescent="0.25">
      <c r="E8" s="124">
        <v>3.5999999999999999E-3</v>
      </c>
      <c r="F8" s="124">
        <v>2.2000000000000001E-3</v>
      </c>
      <c r="G8" s="124">
        <v>3.7999999999999999E-2</v>
      </c>
      <c r="H8" s="124">
        <v>0</v>
      </c>
      <c r="I8" s="124">
        <v>0</v>
      </c>
      <c r="J8" s="124">
        <v>0</v>
      </c>
      <c r="K8" s="124">
        <v>7.6999999999999999E-2</v>
      </c>
      <c r="L8">
        <f t="shared" si="0"/>
        <v>0.12079999999999999</v>
      </c>
    </row>
    <row r="9" spans="3:16" x14ac:dyDescent="0.25">
      <c r="E9" s="124">
        <v>0.06</v>
      </c>
      <c r="F9" s="124">
        <v>5.5100000000000003E-2</v>
      </c>
      <c r="G9" s="124">
        <v>0.25480000000000003</v>
      </c>
      <c r="H9" s="124">
        <v>0</v>
      </c>
      <c r="I9" s="124">
        <v>0.29470000000000002</v>
      </c>
      <c r="J9" s="124">
        <v>0</v>
      </c>
      <c r="K9" s="124">
        <v>0.42420000000000002</v>
      </c>
      <c r="L9">
        <f t="shared" si="0"/>
        <v>1.0888</v>
      </c>
    </row>
    <row r="10" spans="3:16" x14ac:dyDescent="0.25">
      <c r="E10" s="124">
        <v>8.9999999999999998E-4</v>
      </c>
      <c r="F10" s="124">
        <v>1.6000000000000001E-3</v>
      </c>
      <c r="G10" s="124">
        <v>2.5499999999999998E-2</v>
      </c>
      <c r="H10" s="124">
        <v>0</v>
      </c>
      <c r="I10" s="124">
        <v>4.0099999999999997E-2</v>
      </c>
      <c r="J10" s="124">
        <v>0</v>
      </c>
      <c r="K10" s="124">
        <v>0</v>
      </c>
      <c r="L10">
        <f t="shared" si="0"/>
        <v>6.8099999999999994E-2</v>
      </c>
    </row>
    <row r="11" spans="3:16" x14ac:dyDescent="0.25">
      <c r="E11">
        <f>SUM(E4:E10)</f>
        <v>0.47260000000000002</v>
      </c>
      <c r="F11">
        <f t="shared" ref="F11:K11" si="1">SUM(F4:F10)</f>
        <v>0.6080000000000001</v>
      </c>
      <c r="G11">
        <f t="shared" si="1"/>
        <v>1.3523000000000001</v>
      </c>
      <c r="H11">
        <f t="shared" si="1"/>
        <v>0</v>
      </c>
      <c r="I11">
        <f t="shared" si="1"/>
        <v>1.6572</v>
      </c>
      <c r="J11">
        <f t="shared" si="1"/>
        <v>0.26529999999999998</v>
      </c>
      <c r="K11">
        <f t="shared" si="1"/>
        <v>1.8319999999999999</v>
      </c>
    </row>
    <row r="12" spans="3:16" x14ac:dyDescent="0.25">
      <c r="E12">
        <v>0.47260000000000002</v>
      </c>
      <c r="F12">
        <v>0.6080000000000001</v>
      </c>
      <c r="G12">
        <v>1.3523000000000001</v>
      </c>
      <c r="H12">
        <v>0</v>
      </c>
      <c r="I12">
        <v>1.6572</v>
      </c>
      <c r="J12">
        <v>0.26529999999999998</v>
      </c>
      <c r="K12">
        <v>1.8319999999999999</v>
      </c>
    </row>
    <row r="14" spans="3:16" x14ac:dyDescent="0.25">
      <c r="C14" s="126"/>
      <c r="D14" s="126" t="s">
        <v>211</v>
      </c>
      <c r="E14" s="126" t="s">
        <v>212</v>
      </c>
      <c r="F14" s="126" t="s">
        <v>213</v>
      </c>
      <c r="G14" s="126"/>
      <c r="H14" s="126" t="s">
        <v>214</v>
      </c>
    </row>
    <row r="15" spans="3:16" x14ac:dyDescent="0.25">
      <c r="C15" s="126" t="s">
        <v>204</v>
      </c>
      <c r="D15" s="126">
        <v>0.99320000000000008</v>
      </c>
      <c r="E15" s="126">
        <v>0.47260000000000002</v>
      </c>
      <c r="F15" s="126">
        <f>D15-E15</f>
        <v>0.52060000000000006</v>
      </c>
      <c r="G15" s="126"/>
      <c r="H15" s="126">
        <v>3</v>
      </c>
      <c r="O15" s="125">
        <v>2.7271000000000001</v>
      </c>
      <c r="P15" s="125">
        <v>1</v>
      </c>
    </row>
    <row r="16" spans="3:16" x14ac:dyDescent="0.25">
      <c r="C16" s="126" t="s">
        <v>205</v>
      </c>
      <c r="D16" s="126">
        <v>0.91749999999999998</v>
      </c>
      <c r="E16" s="126">
        <v>0.6080000000000001</v>
      </c>
      <c r="F16" s="126">
        <f t="shared" ref="F16:F21" si="2">D16-E16</f>
        <v>0.30949999999999989</v>
      </c>
      <c r="G16" s="126"/>
      <c r="H16" s="126">
        <v>4</v>
      </c>
      <c r="O16" s="125">
        <v>0.82350000000000001</v>
      </c>
      <c r="P16" s="125">
        <v>2</v>
      </c>
    </row>
    <row r="17" spans="3:16" x14ac:dyDescent="0.25">
      <c r="C17" s="126" t="s">
        <v>206</v>
      </c>
      <c r="D17" s="126">
        <v>0.27190000000000003</v>
      </c>
      <c r="E17" s="126">
        <v>1.3523000000000001</v>
      </c>
      <c r="F17" s="126">
        <f t="shared" si="2"/>
        <v>-1.0804</v>
      </c>
      <c r="G17" s="126"/>
      <c r="H17" s="126">
        <v>5</v>
      </c>
      <c r="O17" s="125">
        <v>0.52060000000000006</v>
      </c>
      <c r="P17" s="125">
        <v>3</v>
      </c>
    </row>
    <row r="18" spans="3:16" x14ac:dyDescent="0.25">
      <c r="C18" s="126" t="s">
        <v>207</v>
      </c>
      <c r="D18" s="126">
        <v>2.7271000000000001</v>
      </c>
      <c r="E18" s="126">
        <v>0</v>
      </c>
      <c r="F18" s="126">
        <f t="shared" si="2"/>
        <v>2.7271000000000001</v>
      </c>
      <c r="G18" s="126"/>
      <c r="H18" s="126">
        <v>1</v>
      </c>
      <c r="O18" s="125">
        <v>0.30949999999999989</v>
      </c>
      <c r="P18" s="125">
        <v>4</v>
      </c>
    </row>
    <row r="19" spans="3:16" x14ac:dyDescent="0.25">
      <c r="C19" s="126" t="s">
        <v>208</v>
      </c>
      <c r="D19" s="126">
        <v>0.12079999999999999</v>
      </c>
      <c r="E19" s="126">
        <v>1.6572</v>
      </c>
      <c r="F19" s="126">
        <f t="shared" si="2"/>
        <v>-1.5364</v>
      </c>
      <c r="G19" s="126"/>
      <c r="H19" s="126">
        <v>6</v>
      </c>
      <c r="O19" s="125">
        <v>-1.0804</v>
      </c>
      <c r="P19" s="125">
        <v>5</v>
      </c>
    </row>
    <row r="20" spans="3:16" x14ac:dyDescent="0.25">
      <c r="C20" s="126" t="s">
        <v>209</v>
      </c>
      <c r="D20" s="126">
        <v>1.0888</v>
      </c>
      <c r="E20" s="126">
        <v>0.26529999999999998</v>
      </c>
      <c r="F20" s="126">
        <f t="shared" si="2"/>
        <v>0.82350000000000001</v>
      </c>
      <c r="G20" s="126"/>
      <c r="H20" s="126">
        <v>2</v>
      </c>
      <c r="O20" s="125">
        <v>-1.5364</v>
      </c>
      <c r="P20" s="125">
        <v>6</v>
      </c>
    </row>
    <row r="21" spans="3:16" x14ac:dyDescent="0.25">
      <c r="C21" s="126" t="s">
        <v>210</v>
      </c>
      <c r="D21" s="126">
        <v>6.8099999999999994E-2</v>
      </c>
      <c r="E21" s="126">
        <v>1.8319999999999999</v>
      </c>
      <c r="F21" s="126">
        <f t="shared" si="2"/>
        <v>-1.7638999999999998</v>
      </c>
      <c r="G21" s="126"/>
      <c r="H21" s="126">
        <v>7</v>
      </c>
      <c r="O21" s="125">
        <v>-1.7638999999999998</v>
      </c>
      <c r="P21" s="125">
        <v>7</v>
      </c>
    </row>
  </sheetData>
  <sortState xmlns:xlrd2="http://schemas.microsoft.com/office/spreadsheetml/2017/richdata2" ref="O15:O21">
    <sortCondition descending="1" ref="O15"/>
  </sortState>
  <mergeCells count="1">
    <mergeCell ref="E3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Variable condition</vt:lpstr>
      <vt:lpstr>Expert wights</vt:lpstr>
      <vt:lpstr>Sheet3</vt:lpstr>
      <vt:lpstr>APFDM</vt:lpstr>
      <vt:lpstr>trail concordance index</vt:lpstr>
      <vt:lpstr>APNDM</vt:lpstr>
      <vt:lpstr>Aggregation(CW)</vt:lpstr>
      <vt:lpstr>S(CW)</vt:lpstr>
      <vt:lpstr>WNAPNDM Score(WNAPNDM)</vt:lpstr>
      <vt:lpstr>Score(TV)</vt:lpstr>
      <vt:lpstr>concordance Matrix</vt:lpstr>
      <vt:lpstr>Discordance Matrix</vt:lpstr>
      <vt:lpstr> Credibility Index &amp;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Ashik_CMR</dc:creator>
  <cp:lastModifiedBy>Ashik_CMR</cp:lastModifiedBy>
  <dcterms:created xsi:type="dcterms:W3CDTF">2022-10-12T00:36:23Z</dcterms:created>
  <dcterms:modified xsi:type="dcterms:W3CDTF">2023-02-21T15:47:04Z</dcterms:modified>
</cp:coreProperties>
</file>